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unal Sawant\Documents\CDM\Projects\Tata\"/>
    </mc:Choice>
  </mc:AlternateContent>
  <xr:revisionPtr revIDLastSave="0" documentId="13_ncr:1_{CB596E22-174B-4470-872C-1A666733FA84}" xr6:coauthVersionLast="47" xr6:coauthVersionMax="47" xr10:uidLastSave="{00000000-0000-0000-0000-000000000000}"/>
  <bookViews>
    <workbookView xWindow="-110" yWindow="-110" windowWidth="19420" windowHeight="10300" xr2:uid="{B456ABAB-9710-1A41-9AAD-930C444190E8}"/>
  </bookViews>
  <sheets>
    <sheet name="Raw_Data" sheetId="1" r:id="rId1"/>
    <sheet name="Cleaned_Data" sheetId="2" r:id="rId2"/>
    <sheet name="Lookup_Tables" sheetId="3" r:id="rId3"/>
    <sheet name="Pivot_Analysis" sheetId="4" r:id="rId4"/>
    <sheet name="Insights" sheetId="6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19" i="2"/>
  <c r="E20" i="2"/>
  <c r="E21" i="2"/>
  <c r="E22" i="2"/>
  <c r="E23" i="2"/>
  <c r="E24" i="2"/>
  <c r="E25" i="2"/>
  <c r="E26" i="2"/>
  <c r="E9" i="2"/>
  <c r="E10" i="2"/>
  <c r="E11" i="2"/>
  <c r="E12" i="2"/>
  <c r="E13" i="2"/>
  <c r="E14" i="2"/>
  <c r="E15" i="2"/>
  <c r="E16" i="2"/>
  <c r="E17" i="2"/>
  <c r="E18" i="2"/>
  <c r="E6" i="2"/>
  <c r="E7" i="2"/>
  <c r="E8" i="2"/>
  <c r="E3" i="2"/>
  <c r="E4" i="2"/>
  <c r="E5" i="2"/>
  <c r="E2" i="2"/>
  <c r="H12" i="4"/>
  <c r="H10" i="4"/>
  <c r="H11" i="4"/>
  <c r="H5" i="4"/>
  <c r="H13" i="4" l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B3" i="3"/>
  <c r="B2" i="3"/>
  <c r="B4" i="3"/>
  <c r="H3" i="4"/>
  <c r="H4" i="4"/>
  <c r="H6" i="4" l="1"/>
</calcChain>
</file>

<file path=xl/sharedStrings.xml><?xml version="1.0" encoding="utf-8"?>
<sst xmlns="http://schemas.openxmlformats.org/spreadsheetml/2006/main" count="10132" uniqueCount="587">
  <si>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</si>
  <si>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</si>
  <si>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</si>
  <si>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</si>
  <si>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</si>
  <si>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</si>
  <si>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</si>
  <si>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</si>
  <si>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</si>
  <si>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</si>
  <si>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</si>
  <si>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</si>
  <si>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</si>
  <si>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</si>
  <si>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</si>
  <si>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</si>
  <si>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</si>
  <si>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</si>
  <si>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</si>
  <si>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</si>
  <si>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</si>
  <si>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</si>
  <si>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</si>
  <si>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</si>
  <si>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</si>
  <si>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</si>
  <si>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</si>
  <si>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</si>
  <si>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</si>
  <si>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</si>
  <si>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</si>
  <si>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</si>
  <si>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</si>
  <si>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</si>
  <si>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</si>
  <si>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</si>
  <si>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</si>
  <si>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</si>
  <si>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</si>
  <si>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</si>
  <si>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</si>
  <si>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</si>
  <si>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</si>
  <si>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</si>
  <si>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</si>
  <si>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</si>
  <si>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</si>
  <si>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</si>
  <si>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</si>
  <si>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</si>
  <si>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</si>
  <si>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</si>
  <si>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</si>
  <si>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</si>
  <si>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</si>
  <si>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</si>
  <si>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</si>
  <si>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</si>
  <si>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</si>
  <si>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</si>
  <si>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</si>
  <si>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</si>
  <si>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</si>
  <si>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</si>
  <si>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</si>
  <si>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</si>
  <si>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</si>
  <si>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</si>
  <si>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</si>
  <si>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</si>
  <si>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</si>
  <si>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</si>
  <si>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</si>
  <si>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</si>
  <si>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</si>
  <si>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</si>
  <si>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</si>
  <si>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</si>
  <si>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</si>
  <si>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</si>
  <si>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</si>
  <si>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</si>
  <si>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</si>
  <si>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</si>
  <si>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</si>
  <si>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</si>
  <si>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</si>
  <si>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</si>
  <si>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</si>
  <si>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</si>
  <si>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</si>
  <si>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</si>
  <si>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</si>
  <si>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</si>
  <si>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</si>
  <si>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</si>
  <si>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</si>
  <si>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</si>
  <si>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</si>
  <si>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</si>
  <si>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</si>
  <si>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</si>
  <si>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</si>
  <si>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</si>
  <si>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</si>
  <si>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</si>
  <si>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</si>
  <si>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</si>
  <si>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</si>
  <si>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</si>
  <si>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</si>
  <si>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</si>
  <si>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</si>
  <si>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</si>
  <si>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</si>
  <si>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</si>
  <si>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</si>
  <si>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</si>
  <si>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</si>
  <si>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</si>
  <si>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</si>
  <si>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</si>
  <si>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</si>
  <si>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</si>
  <si>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</si>
  <si>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</si>
  <si>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</si>
  <si>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</si>
  <si>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</si>
  <si>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</si>
  <si>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</si>
  <si>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</si>
  <si>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</si>
  <si>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</si>
  <si>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</si>
  <si>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</si>
  <si>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</si>
  <si>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</si>
  <si>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</si>
  <si>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</si>
  <si>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</si>
  <si>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</si>
  <si>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</si>
  <si>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</si>
  <si>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</si>
  <si>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</si>
  <si>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</si>
  <si>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</si>
  <si>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</si>
  <si>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</si>
  <si>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</si>
  <si>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</si>
  <si>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</si>
  <si>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</si>
  <si>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</si>
  <si>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</si>
  <si>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</si>
  <si>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</si>
  <si>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</si>
  <si>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</si>
  <si>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</si>
  <si>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</si>
  <si>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</si>
  <si>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</si>
  <si>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</si>
  <si>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</si>
  <si>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</si>
  <si>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</si>
  <si>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</si>
  <si>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</si>
  <si>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</si>
  <si>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</si>
  <si>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</si>
  <si>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</si>
  <si>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</si>
  <si>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</si>
  <si>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</si>
  <si>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</si>
  <si>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</si>
  <si>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</si>
  <si>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</si>
  <si>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</si>
  <si>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</si>
  <si>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</si>
  <si>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</si>
  <si>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</si>
  <si>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</si>
  <si>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</si>
  <si>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</si>
  <si>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</si>
  <si>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</si>
  <si>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</si>
  <si>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</si>
  <si>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</si>
  <si>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</si>
  <si>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</si>
  <si>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</si>
  <si>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</si>
  <si>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</si>
  <si>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</si>
  <si>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</si>
  <si>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</si>
  <si>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</si>
  <si>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</si>
  <si>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</si>
  <si>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</si>
  <si>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</si>
  <si>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</si>
  <si>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</si>
  <si>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</si>
  <si>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</si>
  <si>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</si>
  <si>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</si>
  <si>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</si>
  <si>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</si>
  <si>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</si>
  <si>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</si>
  <si>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</si>
  <si>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</si>
  <si>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</si>
  <si>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</si>
  <si>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</si>
  <si>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</si>
  <si>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</si>
  <si>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</si>
  <si>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</si>
  <si>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</si>
  <si>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</si>
  <si>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</si>
  <si>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</si>
  <si>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</si>
  <si>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</si>
  <si>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</si>
  <si>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</si>
  <si>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</si>
  <si>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</si>
  <si>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</si>
  <si>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</si>
  <si>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</si>
  <si>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</si>
  <si>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</si>
  <si>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</si>
  <si>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</si>
  <si>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</si>
  <si>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</si>
  <si>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</si>
  <si>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</si>
  <si>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</si>
  <si>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</si>
  <si>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</si>
  <si>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</si>
  <si>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</si>
  <si>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</si>
  <si>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</si>
  <si>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</si>
  <si>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</si>
  <si>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</si>
  <si>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</si>
  <si>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</si>
  <si>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</si>
  <si>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</si>
  <si>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</si>
  <si>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</si>
  <si>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</si>
  <si>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</si>
  <si>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</si>
  <si>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</si>
  <si>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</si>
  <si>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</si>
  <si>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</si>
  <si>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</si>
  <si>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</si>
  <si>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</si>
  <si>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</si>
  <si>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</si>
  <si>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</si>
  <si>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</si>
  <si>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</si>
  <si>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</si>
  <si>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</si>
  <si>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</si>
  <si>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</si>
  <si>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</si>
  <si>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</si>
  <si>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</si>
  <si>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</si>
  <si>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</si>
  <si>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</si>
  <si>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</si>
  <si>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</si>
  <si>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</si>
  <si>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</si>
  <si>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</si>
  <si>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</si>
  <si>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</si>
  <si>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</si>
  <si>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</si>
  <si>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</si>
  <si>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</si>
  <si>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</si>
  <si>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</si>
  <si>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</si>
  <si>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</si>
  <si>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</si>
  <si>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</si>
  <si>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</si>
  <si>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</si>
  <si>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</si>
  <si>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</si>
  <si>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</si>
  <si>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</si>
  <si>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</si>
  <si>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</si>
  <si>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</si>
  <si>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</si>
  <si>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</si>
  <si>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</si>
  <si>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</si>
  <si>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</si>
  <si>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</si>
  <si>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</si>
  <si>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</si>
  <si>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</si>
  <si>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</si>
  <si>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</si>
  <si>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</si>
  <si>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</si>
  <si>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</si>
  <si>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</si>
  <si>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</si>
  <si>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</si>
  <si>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</si>
  <si>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</si>
  <si>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</si>
  <si>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</si>
  <si>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</si>
  <si>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</si>
  <si>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</si>
  <si>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</si>
  <si>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</si>
  <si>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</si>
  <si>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</si>
  <si>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</si>
  <si>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</si>
  <si>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</si>
  <si>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</si>
  <si>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</si>
  <si>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</si>
  <si>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</si>
  <si>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</si>
  <si>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</si>
  <si>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</si>
  <si>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</si>
  <si>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</si>
  <si>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</si>
  <si>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</si>
  <si>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</si>
  <si>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</si>
  <si>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</si>
  <si>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</si>
  <si>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</si>
  <si>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</si>
  <si>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</si>
  <si>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</si>
  <si>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</si>
  <si>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</si>
  <si>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</si>
  <si>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</si>
  <si>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</si>
  <si>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</si>
  <si>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</si>
  <si>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</si>
  <si>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</si>
  <si>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</si>
  <si>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</si>
  <si>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</si>
  <si>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</si>
  <si>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</si>
  <si>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</si>
  <si>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</si>
  <si>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</si>
  <si>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</si>
  <si>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</si>
  <si>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</si>
  <si>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</si>
  <si>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</si>
  <si>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</si>
  <si>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</si>
  <si>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</si>
  <si>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</si>
  <si>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</si>
  <si>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</si>
  <si>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</si>
  <si>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</si>
  <si>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</si>
  <si>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</si>
  <si>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</si>
  <si>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</si>
  <si>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</si>
  <si>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</si>
  <si>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</si>
  <si>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</si>
  <si>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</si>
  <si>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</si>
  <si>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</si>
  <si>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</si>
  <si>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</si>
  <si>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</si>
  <si>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</si>
  <si>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</si>
  <si>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</si>
  <si>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</si>
  <si>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</si>
  <si>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</si>
  <si>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</si>
  <si>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</si>
  <si>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</si>
  <si>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</si>
  <si>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</si>
  <si>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</si>
  <si>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</si>
  <si>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</si>
  <si>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</si>
  <si>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</si>
  <si>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</si>
  <si>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</si>
  <si>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</si>
  <si>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</si>
  <si>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</si>
  <si>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</si>
  <si>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</si>
  <si>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</si>
  <si>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</si>
  <si>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</si>
  <si>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</si>
  <si>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</si>
  <si>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</si>
  <si>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</si>
  <si>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</si>
  <si>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</si>
  <si>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</si>
  <si>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</si>
  <si>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</si>
  <si>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</si>
  <si>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</si>
  <si>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</si>
  <si>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</si>
  <si>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</si>
  <si>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</si>
  <si>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</si>
  <si>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</si>
  <si>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</si>
  <si>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</si>
  <si>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</si>
  <si>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</si>
  <si>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</si>
  <si>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</si>
  <si>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</si>
  <si>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</si>
  <si>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</si>
  <si>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</si>
  <si>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</si>
  <si>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</si>
  <si>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</si>
  <si>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</si>
  <si>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</si>
  <si>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</si>
  <si>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</si>
  <si>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</si>
  <si>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</si>
  <si>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</si>
  <si>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</si>
  <si>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</si>
  <si>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</si>
  <si>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</si>
  <si>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</si>
  <si>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</si>
  <si>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</si>
  <si>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</si>
  <si>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</si>
  <si>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</si>
  <si>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</si>
  <si>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</si>
  <si>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</si>
  <si>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</si>
  <si>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</si>
  <si>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</si>
  <si>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</si>
  <si>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</si>
  <si>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</si>
  <si>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</si>
  <si>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</si>
  <si>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</si>
  <si>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</si>
  <si>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</si>
  <si>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</si>
  <si>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</si>
  <si>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</si>
  <si>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</si>
  <si>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</si>
  <si>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</si>
  <si>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</si>
  <si>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</si>
  <si>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</si>
  <si>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</si>
  <si>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</si>
  <si>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</si>
  <si>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</si>
  <si>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</si>
  <si>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</si>
  <si>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</si>
  <si>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</si>
  <si>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</si>
  <si>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</si>
  <si>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</si>
  <si>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</si>
  <si>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</si>
  <si>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</si>
  <si>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</si>
  <si>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</si>
  <si>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</si>
  <si>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</si>
  <si>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</si>
  <si>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</si>
  <si>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</si>
  <si>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</si>
  <si>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</si>
  <si>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</si>
  <si>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</si>
  <si>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</si>
  <si>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</si>
  <si>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</si>
  <si>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</si>
  <si>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</si>
  <si>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</si>
  <si>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</si>
  <si>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</si>
  <si>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</si>
  <si>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Variable</t>
  </si>
  <si>
    <t>Median</t>
  </si>
  <si>
    <t>Credit Score</t>
  </si>
  <si>
    <t>Loan Balance</t>
  </si>
  <si>
    <t>High Risk</t>
  </si>
  <si>
    <t>Medium Risk</t>
  </si>
  <si>
    <t>Low Risk</t>
  </si>
  <si>
    <t>Risk_Segment</t>
  </si>
  <si>
    <t>Utilization_Category</t>
  </si>
  <si>
    <t>DTI_Category</t>
  </si>
  <si>
    <t>Sum of Delinquent_Account</t>
  </si>
  <si>
    <t>Grand Total</t>
  </si>
  <si>
    <t>Delinquent Customers by Risk Segment</t>
  </si>
  <si>
    <t>Count of Customer_ID</t>
  </si>
  <si>
    <t>High Utilization</t>
  </si>
  <si>
    <t>Low Utilization</t>
  </si>
  <si>
    <t>Moderate Utilization</t>
  </si>
  <si>
    <t>Total Customers by Risk Segment</t>
  </si>
  <si>
    <t>Delinquent Customers by Credit Utilization Category</t>
  </si>
  <si>
    <t>Percentage</t>
  </si>
  <si>
    <t>HR</t>
  </si>
  <si>
    <t>MR</t>
  </si>
  <si>
    <t>LR</t>
  </si>
  <si>
    <t>Delinquency rates:</t>
  </si>
  <si>
    <t>Customer Distribution by Credit Utilization</t>
  </si>
  <si>
    <t>Risk</t>
  </si>
  <si>
    <t>Delinquency by Credit Card Type</t>
  </si>
  <si>
    <t>Delinquency by Employment Status</t>
  </si>
  <si>
    <t>Creditcard Types</t>
  </si>
  <si>
    <t>Employment Status</t>
  </si>
  <si>
    <t>Customer Distribution by Credit Card Type</t>
  </si>
  <si>
    <t>Card Type</t>
  </si>
  <si>
    <t>Insight 1 – Overall Delinquency</t>
  </si>
  <si>
    <r>
      <t xml:space="preserve">The dataset contains </t>
    </r>
    <r>
      <rPr>
        <b/>
        <sz val="12"/>
        <color theme="1"/>
        <rFont val="Aptos Narrow"/>
        <family val="2"/>
        <scheme val="minor"/>
      </rPr>
      <t>500 customers</t>
    </r>
    <r>
      <rPr>
        <sz val="12"/>
        <color theme="1"/>
        <rFont val="Aptos Narrow"/>
        <family val="2"/>
        <scheme val="minor"/>
      </rPr>
      <t xml:space="preserve">, of which </t>
    </r>
    <r>
      <rPr>
        <b/>
        <sz val="12"/>
        <color theme="1"/>
        <rFont val="Aptos Narrow"/>
        <family val="2"/>
        <scheme val="minor"/>
      </rPr>
      <t>80 customers were delinquent</t>
    </r>
    <r>
      <rPr>
        <sz val="12"/>
        <color theme="1"/>
        <rFont val="Aptos Narrow"/>
        <family val="2"/>
        <scheme val="minor"/>
      </rPr>
      <t xml:space="preserve">, resulting in an overall delinquency rate of </t>
    </r>
    <r>
      <rPr>
        <b/>
        <sz val="12"/>
        <color theme="1"/>
        <rFont val="Aptos Narrow"/>
        <family val="2"/>
        <scheme val="minor"/>
      </rPr>
      <t>16%</t>
    </r>
    <r>
      <rPr>
        <sz val="12"/>
        <color theme="1"/>
        <rFont val="Aptos Narrow"/>
        <family val="2"/>
        <scheme val="minor"/>
      </rPr>
      <t>.</t>
    </r>
  </si>
  <si>
    <t>Insight 2 – Risk Segment Analysis</t>
  </si>
  <si>
    <r>
      <t>High-risk customers accounted for the largest number of delinquent accounts (</t>
    </r>
    <r>
      <rPr>
        <b/>
        <sz val="12"/>
        <color theme="1"/>
        <rFont val="Aptos Narrow"/>
        <family val="2"/>
        <scheme val="minor"/>
      </rPr>
      <t>36 customers</t>
    </r>
    <r>
      <rPr>
        <sz val="12"/>
        <color theme="1"/>
        <rFont val="Aptos Narrow"/>
        <family val="2"/>
        <scheme val="minor"/>
      </rPr>
      <t>), supporting the use of credit-score-based segmentation for identifying potential repayment risk.</t>
    </r>
  </si>
  <si>
    <t>Insight 3 – Medium-Risk Customers Showed Highest Delinquency Rate</t>
  </si>
  <si>
    <r>
      <t>Despite having fewer customers than the High-Risk segment, Medium-Risk customers exhibited the highest delinquency rate (</t>
    </r>
    <r>
      <rPr>
        <b/>
        <sz val="12"/>
        <color theme="1"/>
        <rFont val="Aptos Narrow"/>
        <family val="2"/>
        <scheme val="minor"/>
      </rPr>
      <t>19.23%</t>
    </r>
    <r>
      <rPr>
        <sz val="12"/>
        <color theme="1"/>
        <rFont val="Aptos Narrow"/>
        <family val="2"/>
        <scheme val="minor"/>
      </rPr>
      <t>), suggesting that factors beyond credit score influence repayment behavior.</t>
    </r>
  </si>
  <si>
    <t>Insight 4 – Credit Utilization</t>
  </si>
  <si>
    <r>
      <t>Customers with Moderate Credit Utilization demonstrated the highest delinquency rate (</t>
    </r>
    <r>
      <rPr>
        <b/>
        <sz val="12"/>
        <color theme="1"/>
        <rFont val="Aptos Narrow"/>
        <family val="2"/>
        <scheme val="minor"/>
      </rPr>
      <t>16.95%</t>
    </r>
    <r>
      <rPr>
        <sz val="12"/>
        <color theme="1"/>
        <rFont val="Aptos Narrow"/>
        <family val="2"/>
        <scheme val="minor"/>
      </rPr>
      <t>), indicating that delinquency risk is not solely driven by extremely high credit utilization.</t>
    </r>
  </si>
  <si>
    <t>Insight 5 – Credit Card Type</t>
  </si>
  <si>
    <r>
      <t>Business Card holders generated the highest number of delinquent accounts (</t>
    </r>
    <r>
      <rPr>
        <b/>
        <sz val="12"/>
        <color theme="1"/>
        <rFont val="Aptos Narrow"/>
        <family val="2"/>
        <scheme val="minor"/>
      </rPr>
      <t>23</t>
    </r>
    <r>
      <rPr>
        <sz val="12"/>
        <color theme="1"/>
        <rFont val="Aptos Narrow"/>
        <family val="2"/>
        <scheme val="minor"/>
      </rPr>
      <t>), followed by Student Card holders (</t>
    </r>
    <r>
      <rPr>
        <b/>
        <sz val="12"/>
        <color theme="1"/>
        <rFont val="Aptos Narrow"/>
        <family val="2"/>
        <scheme val="minor"/>
      </rPr>
      <t>20</t>
    </r>
    <r>
      <rPr>
        <sz val="12"/>
        <color theme="1"/>
        <rFont val="Aptos Narrow"/>
        <family val="2"/>
        <scheme val="minor"/>
      </rPr>
      <t>).</t>
    </r>
  </si>
  <si>
    <t>Insight 6 – Data Quality Improvements</t>
  </si>
  <si>
    <t>Missing values in Income, Credit Score, and Loan Balance were handled using median imputation to preserve data quality while minimizing the impact of outliers.</t>
  </si>
  <si>
    <t>Insight 7 – Customer Segmentation</t>
  </si>
  <si>
    <t>Risk segmentation successfully categorized customers into High, Medium, and Low-Risk groups, enabling targeted intervention strategies.</t>
  </si>
  <si>
    <t>Insight 8 – Business Recommendation</t>
  </si>
  <si>
    <t>Implementing a risk-tiered intervention strategy would allow the organization to prioritize high-risk customers while maintaining operational efficiency.</t>
  </si>
  <si>
    <t>Risk_Category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</si>
</sst>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 style="thin">
        <color theme="4" tint="0.39997558519241921"/>
      </top>
      <bottom/>
      <diagonal/>
    </border>
    <border>
      <left/>
      <right style="thin">
        <color theme="7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2" xfId="0" applyFont="1" applyBorder="1"/>
    <xf numFmtId="0" fontId="16" fillId="33" borderId="0" xfId="0" applyFont="1" applyFill="1" applyBorder="1" applyAlignment="1">
      <alignment horizontal="left"/>
    </xf>
    <xf numFmtId="0" fontId="0" fillId="0" borderId="11" xfId="0" applyBorder="1"/>
    <xf numFmtId="10" fontId="16" fillId="33" borderId="0" xfId="0" applyNumberFormat="1" applyFont="1" applyFill="1" applyBorder="1" applyAlignment="1">
      <alignment horizontal="left"/>
    </xf>
    <xf numFmtId="10" fontId="0" fillId="0" borderId="11" xfId="42" applyNumberFormat="1" applyFont="1" applyBorder="1"/>
    <xf numFmtId="10" fontId="0" fillId="0" borderId="13" xfId="0" applyNumberFormat="1" applyFont="1" applyBorder="1"/>
    <xf numFmtId="0" fontId="0" fillId="0" borderId="14" xfId="0" applyFont="1" applyBorder="1"/>
    <xf numFmtId="10" fontId="0" fillId="0" borderId="15" xfId="42" applyNumberFormat="1" applyFont="1" applyBorder="1"/>
    <xf numFmtId="0" fontId="16" fillId="33" borderId="12" xfId="0" applyFont="1" applyFill="1" applyBorder="1" applyAlignment="1">
      <alignment horizontal="left"/>
    </xf>
    <xf numFmtId="10" fontId="16" fillId="33" borderId="13" xfId="0" applyNumberFormat="1" applyFont="1" applyFill="1" applyBorder="1" applyAlignment="1">
      <alignment horizontal="left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Sawant" refreshedDate="46174.616451504633" createdVersion="7" refreshedVersion="7" minRefreshableVersion="3" recordCount="500" xr:uid="{A337AE75-4FEF-4FDB-B415-9FE7FAF424C9}">
  <cacheSource type="worksheet">
    <worksheetSource name="Table13"/>
  </cacheSource>
  <cacheFields count="22">
    <cacheField name="Customer_ID" numFmtId="0">
      <sharedItems/>
    </cacheField>
    <cacheField name="Age" numFmtId="1">
      <sharedItems containsSemiMixedTypes="0" containsString="0" containsNumber="1" containsInteger="1" minValue="18" maxValue="74"/>
    </cacheField>
    <cacheField name="Income" numFmtId="1">
      <sharedItems containsSemiMixedTypes="0" containsString="0" containsNumber="1" containsInteger="1" minValue="15404" maxValue="199943"/>
    </cacheField>
    <cacheField name="Credit_Score" numFmtId="1">
      <sharedItems containsSemiMixedTypes="0" containsString="0" containsNumber="1" containsInteger="1" minValue="301" maxValue="847"/>
    </cacheField>
    <cacheField name="Risk_Segment" numFmtId="0">
      <sharedItems count="3">
        <s v="High Risk"/>
        <s v="Medium Risk"/>
        <s v="Low Risk"/>
      </sharedItems>
    </cacheField>
    <cacheField name="Credit_Utilization" numFmtId="0">
      <sharedItems containsSemiMixedTypes="0" containsString="0" containsNumber="1" minValue="0.05" maxValue="1.0258425262600499"/>
    </cacheField>
    <cacheField name="Utilization_Category" numFmtId="0">
      <sharedItems count="3">
        <s v="Moderate Utilization"/>
        <s v="Low Utilization"/>
        <s v="High Utilization"/>
      </sharedItems>
    </cacheField>
    <cacheField name="Missed_Payments" numFmtId="1">
      <sharedItems containsSemiMixedTypes="0" containsString="0" containsNumber="1" containsInteger="1" minValue="0" maxValue="6"/>
    </cacheField>
    <cacheField name="Delinquent_Account" numFmtId="1">
      <sharedItems containsSemiMixedTypes="0" containsString="0" containsNumber="1" containsInteger="1" minValue="0" maxValue="1"/>
    </cacheField>
    <cacheField name="Loan_Balance" numFmtId="1">
      <sharedItems containsSemiMixedTypes="0" containsString="0" containsNumber="1" containsInteger="1" minValue="612" maxValue="99620"/>
    </cacheField>
    <cacheField name="Debt_to_Income_Ratio" numFmtId="0">
      <sharedItems containsSemiMixedTypes="0" containsString="0" containsNumber="1" minValue="0.1" maxValue="0.55295645054628195"/>
    </cacheField>
    <cacheField name="DTI_Category" numFmtId="0">
      <sharedItems/>
    </cacheField>
    <cacheField name="Employment_Status" numFmtId="0">
      <sharedItems count="5">
        <s v="Employed"/>
        <s v="Self-employed"/>
        <s v="Unemployed"/>
        <s v="retired"/>
        <s v="EMP" u="1"/>
      </sharedItems>
    </cacheField>
    <cacheField name="Account_Tenure" numFmtId="1">
      <sharedItems containsSemiMixedTypes="0" containsString="0" containsNumber="1" containsInteger="1" minValue="0" maxValue="19"/>
    </cacheField>
    <cacheField name="Credit_Card_Type" numFmtId="0">
      <sharedItems count="5">
        <s v="Student"/>
        <s v="Standard"/>
        <s v="Platinum"/>
        <s v="Gold"/>
        <s v="Business"/>
      </sharedItems>
    </cacheField>
    <cacheField name="Location" numFmtId="0">
      <sharedItems/>
    </cacheField>
    <cacheField name="Month_1" numFmtId="0">
      <sharedItems/>
    </cacheField>
    <cacheField name="Month_2" numFmtId="0">
      <sharedItems/>
    </cacheField>
    <cacheField name="Month_3" numFmtId="0">
      <sharedItems/>
    </cacheField>
    <cacheField name="Month_4" numFmtId="0">
      <sharedItems count="3">
        <s v="Late"/>
        <s v="Missed"/>
        <s v="On-time"/>
      </sharedItems>
    </cacheField>
    <cacheField name="Month_5" numFmtId="0">
      <sharedItems/>
    </cacheField>
    <cacheField name="Month_6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0001"/>
    <n v="56"/>
    <n v="165580"/>
    <n v="398"/>
    <x v="0"/>
    <n v="0.39050192860023702"/>
    <x v="0"/>
    <n v="3"/>
    <n v="0"/>
    <n v="16310"/>
    <n v="0.31739611496857001"/>
    <s v="Moderate DTI"/>
    <x v="0"/>
    <n v="18"/>
    <x v="0"/>
    <s v="Los Angeles"/>
    <s v="Late"/>
    <s v="Late"/>
    <s v="Missed"/>
    <x v="0"/>
    <s v="Missed"/>
    <s v="Late"/>
  </r>
  <r>
    <s v="CUST0002"/>
    <n v="69"/>
    <n v="100999"/>
    <n v="493"/>
    <x v="0"/>
    <n v="0.31244403322601699"/>
    <x v="0"/>
    <n v="6"/>
    <n v="1"/>
    <n v="17401"/>
    <n v="0.196092643360821"/>
    <s v="Low DTI"/>
    <x v="1"/>
    <n v="0"/>
    <x v="1"/>
    <s v="Phoenix"/>
    <s v="Missed"/>
    <s v="Missed"/>
    <s v="Late"/>
    <x v="1"/>
    <s v="On-time"/>
    <s v="On-time"/>
  </r>
  <r>
    <s v="CUST0003"/>
    <n v="46"/>
    <n v="188416"/>
    <n v="500"/>
    <x v="0"/>
    <n v="0.359930238508409"/>
    <x v="0"/>
    <n v="0"/>
    <n v="0"/>
    <n v="13761"/>
    <n v="0.30165493989091102"/>
    <s v="Moderate DTI"/>
    <x v="1"/>
    <n v="1"/>
    <x v="2"/>
    <s v="Chicago"/>
    <s v="Missed"/>
    <s v="Late"/>
    <s v="Late"/>
    <x v="2"/>
    <s v="Missed"/>
    <s v="Late"/>
  </r>
  <r>
    <s v="CUST0004"/>
    <n v="32"/>
    <n v="101672"/>
    <n v="413"/>
    <x v="0"/>
    <n v="0.37140035530382398"/>
    <x v="0"/>
    <n v="3"/>
    <n v="0"/>
    <n v="88778"/>
    <n v="0.26479443922880602"/>
    <s v="Low DTI"/>
    <x v="2"/>
    <n v="15"/>
    <x v="2"/>
    <s v="Phoenix"/>
    <s v="Late"/>
    <s v="Missed"/>
    <s v="Late"/>
    <x v="1"/>
    <s v="Late"/>
    <s v="Late"/>
  </r>
  <r>
    <s v="CUST0005"/>
    <n v="60"/>
    <n v="38524"/>
    <n v="487"/>
    <x v="0"/>
    <n v="0.23471586262820099"/>
    <x v="1"/>
    <n v="2"/>
    <n v="0"/>
    <n v="13316"/>
    <n v="0.51058348253484798"/>
    <s v="High DTI"/>
    <x v="1"/>
    <n v="11"/>
    <x v="1"/>
    <s v="Phoenix"/>
    <s v="Missed"/>
    <s v="On-time"/>
    <s v="Missed"/>
    <x v="0"/>
    <s v="Late"/>
    <s v="Late"/>
  </r>
  <r>
    <s v="CUST0006"/>
    <n v="25"/>
    <n v="84042"/>
    <n v="700"/>
    <x v="1"/>
    <n v="0.65054042971452497"/>
    <x v="0"/>
    <n v="6"/>
    <n v="0"/>
    <n v="48361"/>
    <n v="0.26068788108000901"/>
    <s v="Low DTI"/>
    <x v="2"/>
    <n v="7"/>
    <x v="3"/>
    <s v="New York"/>
    <s v="On-time"/>
    <s v="Late"/>
    <s v="Missed"/>
    <x v="1"/>
    <s v="Missed"/>
    <s v="Late"/>
  </r>
  <r>
    <s v="CUST0007"/>
    <n v="38"/>
    <n v="35056"/>
    <n v="354"/>
    <x v="0"/>
    <n v="0.39058094052257902"/>
    <x v="0"/>
    <n v="3"/>
    <n v="0"/>
    <n v="4638"/>
    <n v="0.48426513728833398"/>
    <s v="Moderate DTI"/>
    <x v="0"/>
    <n v="17"/>
    <x v="2"/>
    <s v="New York"/>
    <s v="On-time"/>
    <s v="Missed"/>
    <s v="Missed"/>
    <x v="0"/>
    <s v="Missed"/>
    <s v="Late"/>
  </r>
  <r>
    <s v="CUST0008"/>
    <n v="56"/>
    <n v="123215"/>
    <n v="415"/>
    <x v="0"/>
    <n v="0.53271466711773097"/>
    <x v="0"/>
    <n v="5"/>
    <n v="0"/>
    <n v="55776"/>
    <n v="0.35869522911833701"/>
    <s v="Moderate DTI"/>
    <x v="0"/>
    <n v="1"/>
    <x v="0"/>
    <s v="New York"/>
    <s v="On-time"/>
    <s v="On-time"/>
    <s v="On-time"/>
    <x v="0"/>
    <s v="Missed"/>
    <s v="Late"/>
  </r>
  <r>
    <s v="CUST0009"/>
    <n v="36"/>
    <n v="66991"/>
    <n v="405"/>
    <x v="0"/>
    <n v="0.41303484761795101"/>
    <x v="0"/>
    <n v="5"/>
    <n v="1"/>
    <n v="45776"/>
    <n v="0.21985410292702701"/>
    <s v="Low DTI"/>
    <x v="0"/>
    <n v="12"/>
    <x v="0"/>
    <s v="Phoenix"/>
    <s v="On-time"/>
    <s v="On-time"/>
    <s v="On-time"/>
    <x v="1"/>
    <s v="Late"/>
    <s v="On-time"/>
  </r>
  <r>
    <s v="CUST0010"/>
    <n v="40"/>
    <n v="34870"/>
    <n v="679"/>
    <x v="1"/>
    <n v="0.361823917542758"/>
    <x v="0"/>
    <n v="4"/>
    <n v="0"/>
    <n v="93922"/>
    <n v="0.33308109252597501"/>
    <s v="Moderate DTI"/>
    <x v="0"/>
    <n v="5"/>
    <x v="4"/>
    <s v="Los Angeles"/>
    <s v="On-time"/>
    <s v="Missed"/>
    <s v="Missed"/>
    <x v="2"/>
    <s v="Missed"/>
    <s v="Missed"/>
  </r>
  <r>
    <s v="CUST0011"/>
    <n v="28"/>
    <n v="42532"/>
    <n v="340"/>
    <x v="0"/>
    <n v="0.83445584721736998"/>
    <x v="2"/>
    <n v="4"/>
    <n v="0"/>
    <n v="82909"/>
    <n v="0.26955902536621801"/>
    <s v="Low DTI"/>
    <x v="2"/>
    <n v="5"/>
    <x v="0"/>
    <s v="Chicago"/>
    <s v="On-time"/>
    <s v="Late"/>
    <s v="Missed"/>
    <x v="1"/>
    <s v="On-time"/>
    <s v="Late"/>
  </r>
  <r>
    <s v="CUST0012"/>
    <n v="28"/>
    <n v="70479"/>
    <n v="679"/>
    <x v="1"/>
    <n v="0.684586436441881"/>
    <x v="0"/>
    <n v="3"/>
    <n v="0"/>
    <n v="75777"/>
    <n v="0.32421574907412298"/>
    <s v="Moderate DTI"/>
    <x v="2"/>
    <n v="8"/>
    <x v="4"/>
    <s v="Chicago"/>
    <s v="On-time"/>
    <s v="Missed"/>
    <s v="Missed"/>
    <x v="0"/>
    <s v="On-time"/>
    <s v="Late"/>
  </r>
  <r>
    <s v="CUST0013"/>
    <n v="41"/>
    <n v="56975"/>
    <n v="320"/>
    <x v="0"/>
    <n v="0.12635992000897101"/>
    <x v="1"/>
    <n v="0"/>
    <n v="0"/>
    <n v="15171"/>
    <n v="0.22861090125667299"/>
    <s v="Low DTI"/>
    <x v="0"/>
    <n v="15"/>
    <x v="1"/>
    <s v="Los Angeles"/>
    <s v="Late"/>
    <s v="Late"/>
    <s v="Missed"/>
    <x v="0"/>
    <s v="On-time"/>
    <s v="On-time"/>
  </r>
  <r>
    <s v="CUST0014"/>
    <n v="70"/>
    <n v="117023"/>
    <n v="528"/>
    <x v="0"/>
    <n v="0.105172510332822"/>
    <x v="1"/>
    <n v="5"/>
    <n v="0"/>
    <n v="95136"/>
    <n v="0.46901776333459499"/>
    <s v="Moderate DTI"/>
    <x v="3"/>
    <n v="10"/>
    <x v="1"/>
    <s v="Los Angeles"/>
    <s v="On-time"/>
    <s v="Missed"/>
    <s v="Missed"/>
    <x v="1"/>
    <s v="On-time"/>
    <s v="On-time"/>
  </r>
  <r>
    <s v="CUST0015"/>
    <n v="53"/>
    <n v="143148"/>
    <n v="617"/>
    <x v="1"/>
    <n v="0.70852176712729698"/>
    <x v="2"/>
    <n v="0"/>
    <n v="0"/>
    <n v="2593"/>
    <n v="0.39253980907967201"/>
    <s v="Moderate DTI"/>
    <x v="2"/>
    <n v="6"/>
    <x v="1"/>
    <s v="Chicago"/>
    <s v="Late"/>
    <s v="Missed"/>
    <s v="Late"/>
    <x v="0"/>
    <s v="Late"/>
    <s v="Late"/>
  </r>
  <r>
    <s v="CUST0016"/>
    <n v="57"/>
    <n v="159356"/>
    <n v="601"/>
    <x v="1"/>
    <n v="0.39602932169024901"/>
    <x v="0"/>
    <n v="0"/>
    <n v="0"/>
    <n v="1514"/>
    <n v="0.30317815681615901"/>
    <s v="Moderate DTI"/>
    <x v="1"/>
    <n v="9"/>
    <x v="3"/>
    <s v="Houston"/>
    <s v="Missed"/>
    <s v="On-time"/>
    <s v="Late"/>
    <x v="1"/>
    <s v="Missed"/>
    <s v="Late"/>
  </r>
  <r>
    <s v="CUST0017"/>
    <n v="41"/>
    <n v="146484"/>
    <n v="543"/>
    <x v="0"/>
    <n v="0.17018353321315499"/>
    <x v="1"/>
    <n v="3"/>
    <n v="0"/>
    <n v="74039"/>
    <n v="0.472911476806953"/>
    <s v="Moderate DTI"/>
    <x v="1"/>
    <n v="9"/>
    <x v="3"/>
    <s v="New York"/>
    <s v="Late"/>
    <s v="Missed"/>
    <s v="On-time"/>
    <x v="1"/>
    <s v="Missed"/>
    <s v="Late"/>
  </r>
  <r>
    <s v="CUST0018"/>
    <n v="20"/>
    <n v="183152"/>
    <n v="823"/>
    <x v="2"/>
    <n v="0.70914702650806805"/>
    <x v="2"/>
    <n v="0"/>
    <n v="1"/>
    <n v="28018"/>
    <n v="0.30742792440828398"/>
    <s v="Moderate DTI"/>
    <x v="2"/>
    <n v="19"/>
    <x v="4"/>
    <s v="New York"/>
    <s v="On-time"/>
    <s v="On-time"/>
    <s v="Late"/>
    <x v="0"/>
    <s v="On-time"/>
    <s v="Late"/>
  </r>
  <r>
    <s v="CUST0019"/>
    <n v="39"/>
    <n v="81040"/>
    <n v="831"/>
    <x v="2"/>
    <n v="0.53382481001981796"/>
    <x v="0"/>
    <n v="5"/>
    <n v="0"/>
    <n v="16034"/>
    <n v="0.40976249648611601"/>
    <s v="Moderate DTI"/>
    <x v="2"/>
    <n v="17"/>
    <x v="0"/>
    <s v="Chicago"/>
    <s v="Missed"/>
    <s v="On-time"/>
    <s v="On-time"/>
    <x v="0"/>
    <s v="On-time"/>
    <s v="Missed"/>
  </r>
  <r>
    <s v="CUST0020"/>
    <n v="70"/>
    <n v="181319"/>
    <n v="486"/>
    <x v="0"/>
    <n v="0.55031421696646299"/>
    <x v="0"/>
    <n v="2"/>
    <n v="0"/>
    <n v="2420"/>
    <n v="0.303830058752242"/>
    <s v="Moderate DTI"/>
    <x v="3"/>
    <n v="19"/>
    <x v="0"/>
    <s v="Los Angeles"/>
    <s v="Late"/>
    <s v="Missed"/>
    <s v="Late"/>
    <x v="0"/>
    <s v="Late"/>
    <s v="Missed"/>
  </r>
  <r>
    <s v="CUST0021"/>
    <n v="19"/>
    <n v="199402"/>
    <n v="783"/>
    <x v="2"/>
    <n v="0.66190785440118105"/>
    <x v="0"/>
    <n v="4"/>
    <n v="0"/>
    <n v="43942"/>
    <n v="0.33938875948105701"/>
    <s v="Moderate DTI"/>
    <x v="1"/>
    <n v="8"/>
    <x v="1"/>
    <s v="Houston"/>
    <s v="Late"/>
    <s v="Late"/>
    <s v="On-time"/>
    <x v="2"/>
    <s v="On-time"/>
    <s v="Late"/>
  </r>
  <r>
    <s v="CUST0022"/>
    <n v="41"/>
    <n v="40351"/>
    <n v="690"/>
    <x v="1"/>
    <n v="0.23800456834352099"/>
    <x v="1"/>
    <n v="2"/>
    <n v="1"/>
    <n v="2200"/>
    <n v="0.29185612190572202"/>
    <s v="Low DTI"/>
    <x v="2"/>
    <n v="14"/>
    <x v="2"/>
    <s v="Chicago"/>
    <s v="Missed"/>
    <s v="Missed"/>
    <s v="On-time"/>
    <x v="2"/>
    <s v="Late"/>
    <s v="Missed"/>
  </r>
  <r>
    <s v="CUST0023"/>
    <n v="61"/>
    <n v="154487"/>
    <n v="321"/>
    <x v="0"/>
    <n v="0.173699835723167"/>
    <x v="1"/>
    <n v="0"/>
    <n v="0"/>
    <n v="81757"/>
    <n v="0.30953013538739299"/>
    <s v="Moderate DTI"/>
    <x v="2"/>
    <n v="3"/>
    <x v="3"/>
    <s v="New York"/>
    <s v="Late"/>
    <s v="On-time"/>
    <s v="On-time"/>
    <x v="2"/>
    <s v="Late"/>
    <s v="On-time"/>
  </r>
  <r>
    <s v="CUST0024"/>
    <n v="47"/>
    <n v="108468"/>
    <n v="538"/>
    <x v="0"/>
    <n v="0.81619085898064003"/>
    <x v="2"/>
    <n v="2"/>
    <n v="1"/>
    <n v="45776"/>
    <n v="0.31705318603879901"/>
    <s v="Moderate DTI"/>
    <x v="3"/>
    <n v="7"/>
    <x v="3"/>
    <s v="Phoenix"/>
    <s v="Late"/>
    <s v="Late"/>
    <s v="Late"/>
    <x v="2"/>
    <s v="Late"/>
    <s v="Late"/>
  </r>
  <r>
    <s v="CUST0025"/>
    <n v="55"/>
    <n v="41646"/>
    <n v="847"/>
    <x v="2"/>
    <n v="0.212566647851541"/>
    <x v="1"/>
    <n v="5"/>
    <n v="0"/>
    <n v="28018"/>
    <n v="0.23302681675115999"/>
    <s v="Low DTI"/>
    <x v="3"/>
    <n v="8"/>
    <x v="1"/>
    <s v="Los Angeles"/>
    <s v="On-time"/>
    <s v="Missed"/>
    <s v="Missed"/>
    <x v="1"/>
    <s v="Late"/>
    <s v="Late"/>
  </r>
  <r>
    <s v="CUST0026"/>
    <n v="19"/>
    <n v="193998"/>
    <n v="515"/>
    <x v="0"/>
    <n v="0.25555244058488702"/>
    <x v="1"/>
    <n v="5"/>
    <n v="0"/>
    <n v="45776"/>
    <n v="0.25989313330769098"/>
    <s v="Low DTI"/>
    <x v="0"/>
    <n v="12"/>
    <x v="3"/>
    <s v="Phoenix"/>
    <s v="Late"/>
    <s v="Missed"/>
    <s v="On-time"/>
    <x v="0"/>
    <s v="Missed"/>
    <s v="On-time"/>
  </r>
  <r>
    <s v="CUST0027"/>
    <n v="38"/>
    <n v="89740"/>
    <n v="789"/>
    <x v="2"/>
    <n v="0.29551292409084601"/>
    <x v="1"/>
    <n v="0"/>
    <n v="0"/>
    <n v="89660"/>
    <n v="0.27832449835138201"/>
    <s v="Low DTI"/>
    <x v="3"/>
    <n v="8"/>
    <x v="1"/>
    <s v="Chicago"/>
    <s v="Missed"/>
    <s v="On-time"/>
    <s v="Missed"/>
    <x v="1"/>
    <s v="Missed"/>
    <s v="On-time"/>
  </r>
  <r>
    <s v="CUST0028"/>
    <n v="50"/>
    <n v="136790"/>
    <n v="525"/>
    <x v="0"/>
    <n v="0.91598918473810398"/>
    <x v="2"/>
    <n v="3"/>
    <n v="0"/>
    <n v="43870"/>
    <n v="0.32297110168022902"/>
    <s v="Moderate DTI"/>
    <x v="0"/>
    <n v="3"/>
    <x v="4"/>
    <s v="New York"/>
    <s v="Missed"/>
    <s v="On-time"/>
    <s v="Late"/>
    <x v="0"/>
    <s v="Missed"/>
    <s v="On-time"/>
  </r>
  <r>
    <s v="CUST0029"/>
    <n v="29"/>
    <n v="86726"/>
    <n v="588"/>
    <x v="0"/>
    <n v="0.59867666008230402"/>
    <x v="0"/>
    <n v="2"/>
    <n v="0"/>
    <n v="45776"/>
    <n v="0.29694209804965299"/>
    <s v="Low DTI"/>
    <x v="1"/>
    <n v="16"/>
    <x v="0"/>
    <s v="Houston"/>
    <s v="Late"/>
    <s v="Late"/>
    <s v="Missed"/>
    <x v="2"/>
    <s v="Late"/>
    <s v="On-time"/>
  </r>
  <r>
    <s v="CUST0030"/>
    <n v="39"/>
    <n v="88523"/>
    <n v="523"/>
    <x v="0"/>
    <n v="0.69308159488707599"/>
    <x v="0"/>
    <n v="3"/>
    <n v="0"/>
    <n v="29561"/>
    <n v="0.41730325338257002"/>
    <s v="Moderate DTI"/>
    <x v="0"/>
    <n v="15"/>
    <x v="2"/>
    <s v="Phoenix"/>
    <s v="Late"/>
    <s v="On-time"/>
    <s v="On-time"/>
    <x v="2"/>
    <s v="Late"/>
    <s v="On-time"/>
  </r>
  <r>
    <s v="CUST0031"/>
    <n v="61"/>
    <n v="72458"/>
    <n v="374"/>
    <x v="0"/>
    <n v="0.53923350911574497"/>
    <x v="0"/>
    <n v="3"/>
    <n v="0"/>
    <n v="60530"/>
    <n v="0.38471183189796399"/>
    <s v="Moderate DTI"/>
    <x v="0"/>
    <n v="14"/>
    <x v="0"/>
    <s v="Houston"/>
    <s v="On-time"/>
    <s v="Missed"/>
    <s v="Late"/>
    <x v="1"/>
    <s v="On-time"/>
    <s v="Missed"/>
  </r>
  <r>
    <s v="CUST0032"/>
    <n v="42"/>
    <n v="60106"/>
    <n v="385"/>
    <x v="0"/>
    <n v="0.37962255775975301"/>
    <x v="0"/>
    <n v="1"/>
    <n v="0"/>
    <n v="46663"/>
    <n v="0.28036724439746202"/>
    <s v="Low DTI"/>
    <x v="2"/>
    <n v="2"/>
    <x v="0"/>
    <s v="New York"/>
    <s v="On-time"/>
    <s v="Late"/>
    <s v="Late"/>
    <x v="2"/>
    <s v="On-time"/>
    <s v="Missed"/>
  </r>
  <r>
    <s v="CUST0033"/>
    <n v="66"/>
    <n v="106362"/>
    <n v="806"/>
    <x v="2"/>
    <n v="0.62625825665203305"/>
    <x v="0"/>
    <n v="0"/>
    <n v="1"/>
    <n v="11308"/>
    <n v="0.43817838974519302"/>
    <s v="Moderate DTI"/>
    <x v="2"/>
    <n v="19"/>
    <x v="4"/>
    <s v="Phoenix"/>
    <s v="Late"/>
    <s v="Late"/>
    <s v="Late"/>
    <x v="0"/>
    <s v="Late"/>
    <s v="On-time"/>
  </r>
  <r>
    <s v="CUST0034"/>
    <n v="44"/>
    <n v="99076"/>
    <n v="440"/>
    <x v="0"/>
    <n v="0.18867680584063901"/>
    <x v="1"/>
    <n v="4"/>
    <n v="0"/>
    <n v="99005"/>
    <n v="0.48730206235754497"/>
    <s v="Moderate DTI"/>
    <x v="0"/>
    <n v="4"/>
    <x v="3"/>
    <s v="Houston"/>
    <s v="Missed"/>
    <s v="Late"/>
    <s v="Late"/>
    <x v="1"/>
    <s v="On-time"/>
    <s v="Missed"/>
  </r>
  <r>
    <s v="CUST0035"/>
    <n v="59"/>
    <n v="69693"/>
    <n v="316"/>
    <x v="0"/>
    <n v="0.28094330958070102"/>
    <x v="1"/>
    <n v="5"/>
    <n v="1"/>
    <n v="60278"/>
    <n v="0.1"/>
    <s v="Low DTI"/>
    <x v="3"/>
    <n v="4"/>
    <x v="2"/>
    <s v="Houston"/>
    <s v="On-time"/>
    <s v="Missed"/>
    <s v="Late"/>
    <x v="0"/>
    <s v="On-time"/>
    <s v="Late"/>
  </r>
  <r>
    <s v="CUST0036"/>
    <n v="45"/>
    <n v="137402"/>
    <n v="464"/>
    <x v="0"/>
    <n v="0.64659503585229605"/>
    <x v="0"/>
    <n v="5"/>
    <n v="0"/>
    <n v="65119"/>
    <n v="0.39322900850662701"/>
    <s v="Moderate DTI"/>
    <x v="2"/>
    <n v="19"/>
    <x v="3"/>
    <s v="Phoenix"/>
    <s v="Missed"/>
    <s v="Missed"/>
    <s v="Missed"/>
    <x v="2"/>
    <s v="On-time"/>
    <s v="On-time"/>
  </r>
  <r>
    <s v="CUST0037"/>
    <n v="33"/>
    <n v="53756"/>
    <n v="521"/>
    <x v="0"/>
    <n v="0.22854895383464299"/>
    <x v="1"/>
    <n v="0"/>
    <n v="0"/>
    <n v="36029"/>
    <n v="0.23070158026685"/>
    <s v="Low DTI"/>
    <x v="0"/>
    <n v="14"/>
    <x v="0"/>
    <s v="New York"/>
    <s v="Late"/>
    <s v="Missed"/>
    <s v="Missed"/>
    <x v="2"/>
    <s v="On-time"/>
    <s v="Missed"/>
  </r>
  <r>
    <s v="CUST0038"/>
    <n v="32"/>
    <n v="181319"/>
    <n v="467"/>
    <x v="0"/>
    <n v="0.462183706167625"/>
    <x v="0"/>
    <n v="6"/>
    <n v="0"/>
    <n v="62010"/>
    <n v="0.38007480213232903"/>
    <s v="Moderate DTI"/>
    <x v="0"/>
    <n v="17"/>
    <x v="1"/>
    <s v="Houston"/>
    <s v="Missed"/>
    <s v="On-time"/>
    <s v="On-time"/>
    <x v="2"/>
    <s v="Missed"/>
    <s v="On-time"/>
  </r>
  <r>
    <s v="CUST0039"/>
    <n v="64"/>
    <n v="183152"/>
    <n v="823"/>
    <x v="2"/>
    <n v="0.47129753112891698"/>
    <x v="0"/>
    <n v="6"/>
    <n v="0"/>
    <n v="87164"/>
    <n v="0.42382379406464299"/>
    <s v="Moderate DTI"/>
    <x v="0"/>
    <n v="14"/>
    <x v="0"/>
    <s v="Chicago"/>
    <s v="Late"/>
    <s v="On-time"/>
    <s v="Late"/>
    <x v="1"/>
    <s v="Missed"/>
    <s v="On-time"/>
  </r>
  <r>
    <s v="CUST0040"/>
    <n v="68"/>
    <n v="97750"/>
    <n v="352"/>
    <x v="0"/>
    <n v="0.394267599332567"/>
    <x v="0"/>
    <n v="6"/>
    <n v="0"/>
    <n v="91432"/>
    <n v="0.21230074054894399"/>
    <s v="Low DTI"/>
    <x v="0"/>
    <n v="1"/>
    <x v="3"/>
    <s v="Phoenix"/>
    <s v="On-time"/>
    <s v="Late"/>
    <s v="Late"/>
    <x v="2"/>
    <s v="On-time"/>
    <s v="On-time"/>
  </r>
  <r>
    <s v="CUST0041"/>
    <n v="61"/>
    <n v="107658"/>
    <n v="372"/>
    <x v="0"/>
    <n v="0.10977630503022801"/>
    <x v="1"/>
    <n v="4"/>
    <n v="0"/>
    <n v="44454"/>
    <n v="0.114767290098423"/>
    <s v="Low DTI"/>
    <x v="1"/>
    <n v="12"/>
    <x v="0"/>
    <s v="Los Angeles"/>
    <s v="Late"/>
    <s v="Missed"/>
    <s v="Late"/>
    <x v="2"/>
    <s v="Late"/>
    <s v="Late"/>
  </r>
  <r>
    <s v="CUST0042"/>
    <n v="72"/>
    <n v="81617"/>
    <n v="359"/>
    <x v="0"/>
    <n v="0.37421422176226099"/>
    <x v="0"/>
    <n v="5"/>
    <n v="0"/>
    <n v="11564"/>
    <n v="0.383543408821586"/>
    <s v="Moderate DTI"/>
    <x v="3"/>
    <n v="3"/>
    <x v="1"/>
    <s v="Los Angeles"/>
    <s v="Late"/>
    <s v="On-time"/>
    <s v="Late"/>
    <x v="2"/>
    <s v="Missed"/>
    <s v="Missed"/>
  </r>
  <r>
    <s v="CUST0043"/>
    <n v="69"/>
    <n v="107658"/>
    <n v="792"/>
    <x v="2"/>
    <n v="0.33500632461350199"/>
    <x v="0"/>
    <n v="0"/>
    <n v="1"/>
    <n v="11155"/>
    <n v="0.31354024824836102"/>
    <s v="Moderate DTI"/>
    <x v="3"/>
    <n v="9"/>
    <x v="4"/>
    <s v="New York"/>
    <s v="On-time"/>
    <s v="Late"/>
    <s v="Late"/>
    <x v="0"/>
    <s v="Missed"/>
    <s v="Missed"/>
  </r>
  <r>
    <s v="CUST0044"/>
    <n v="74"/>
    <n v="66991"/>
    <n v="601"/>
    <x v="1"/>
    <n v="0.53228797265753902"/>
    <x v="0"/>
    <n v="5"/>
    <n v="0"/>
    <n v="31198"/>
    <n v="0.133156124609737"/>
    <s v="Low DTI"/>
    <x v="0"/>
    <n v="12"/>
    <x v="3"/>
    <s v="Chicago"/>
    <s v="On-time"/>
    <s v="Late"/>
    <s v="On-time"/>
    <x v="1"/>
    <s v="Missed"/>
    <s v="Late"/>
  </r>
  <r>
    <s v="CUST0045"/>
    <n v="20"/>
    <n v="106267"/>
    <n v="751"/>
    <x v="2"/>
    <n v="0.52209810773989296"/>
    <x v="0"/>
    <n v="3"/>
    <n v="0"/>
    <n v="86447"/>
    <n v="0.55295645054628195"/>
    <s v="High DTI"/>
    <x v="2"/>
    <n v="9"/>
    <x v="0"/>
    <s v="Houston"/>
    <s v="On-time"/>
    <s v="Missed"/>
    <s v="On-time"/>
    <x v="0"/>
    <s v="On-time"/>
    <s v="Late"/>
  </r>
  <r>
    <s v="CUST0046"/>
    <n v="54"/>
    <n v="59238"/>
    <n v="401"/>
    <x v="0"/>
    <n v="0.57559229198737405"/>
    <x v="0"/>
    <n v="2"/>
    <n v="1"/>
    <n v="45776"/>
    <n v="0.36244194122565498"/>
    <s v="Moderate DTI"/>
    <x v="2"/>
    <n v="8"/>
    <x v="3"/>
    <s v="Los Angeles"/>
    <s v="On-time"/>
    <s v="Late"/>
    <s v="Missed"/>
    <x v="1"/>
    <s v="Late"/>
    <s v="On-time"/>
  </r>
  <r>
    <s v="CUST0047"/>
    <n v="68"/>
    <n v="153311"/>
    <n v="326"/>
    <x v="0"/>
    <n v="0.36480274540511998"/>
    <x v="0"/>
    <n v="2"/>
    <n v="0"/>
    <n v="5626"/>
    <n v="0.36701000401251499"/>
    <s v="Moderate DTI"/>
    <x v="0"/>
    <n v="7"/>
    <x v="4"/>
    <s v="New York"/>
    <s v="Missed"/>
    <s v="Missed"/>
    <s v="On-time"/>
    <x v="0"/>
    <s v="Missed"/>
    <s v="Late"/>
  </r>
  <r>
    <s v="CUST0048"/>
    <n v="24"/>
    <n v="146800"/>
    <n v="637"/>
    <x v="1"/>
    <n v="0.60455559009317805"/>
    <x v="0"/>
    <n v="5"/>
    <n v="0"/>
    <n v="2687"/>
    <n v="0.43658177525620401"/>
    <s v="Moderate DTI"/>
    <x v="0"/>
    <n v="2"/>
    <x v="0"/>
    <s v="Chicago"/>
    <s v="On-time"/>
    <s v="Late"/>
    <s v="On-time"/>
    <x v="1"/>
    <s v="On-time"/>
    <s v="On-time"/>
  </r>
  <r>
    <s v="CUST0049"/>
    <n v="38"/>
    <n v="97750"/>
    <n v="691"/>
    <x v="1"/>
    <n v="0.188798653445263"/>
    <x v="1"/>
    <n v="1"/>
    <n v="0"/>
    <n v="63375"/>
    <n v="0.24191760471534901"/>
    <s v="Low DTI"/>
    <x v="3"/>
    <n v="15"/>
    <x v="0"/>
    <s v="Chicago"/>
    <s v="Late"/>
    <s v="On-time"/>
    <s v="On-time"/>
    <x v="2"/>
    <s v="Missed"/>
    <s v="Late"/>
  </r>
  <r>
    <s v="CUST0050"/>
    <n v="26"/>
    <n v="118033"/>
    <n v="469"/>
    <x v="0"/>
    <n v="0.13561905346952899"/>
    <x v="1"/>
    <n v="4"/>
    <n v="0"/>
    <n v="92865"/>
    <n v="0.31304541120886697"/>
    <s v="Moderate DTI"/>
    <x v="0"/>
    <n v="13"/>
    <x v="3"/>
    <s v="New York"/>
    <s v="Late"/>
    <s v="Missed"/>
    <s v="Missed"/>
    <x v="0"/>
    <s v="On-time"/>
    <s v="Missed"/>
  </r>
  <r>
    <s v="CUST0051"/>
    <n v="56"/>
    <n v="169865"/>
    <n v="336"/>
    <x v="0"/>
    <n v="0.05"/>
    <x v="1"/>
    <n v="6"/>
    <n v="0"/>
    <n v="92183"/>
    <n v="0.168067808622023"/>
    <s v="Low DTI"/>
    <x v="0"/>
    <n v="8"/>
    <x v="3"/>
    <s v="New York"/>
    <s v="Missed"/>
    <s v="Late"/>
    <s v="On-time"/>
    <x v="0"/>
    <s v="Late"/>
    <s v="On-time"/>
  </r>
  <r>
    <s v="CUST0052"/>
    <n v="35"/>
    <n v="109074"/>
    <n v="383"/>
    <x v="0"/>
    <n v="0.40014055208560001"/>
    <x v="0"/>
    <n v="4"/>
    <n v="0"/>
    <n v="45776"/>
    <n v="0.23920515527148101"/>
    <s v="Low DTI"/>
    <x v="0"/>
    <n v="10"/>
    <x v="1"/>
    <s v="Houston"/>
    <s v="Late"/>
    <s v="Missed"/>
    <s v="Late"/>
    <x v="0"/>
    <s v="Missed"/>
    <s v="On-time"/>
  </r>
  <r>
    <s v="CUST0053"/>
    <n v="21"/>
    <n v="185806"/>
    <n v="823"/>
    <x v="2"/>
    <n v="0.34934035513228801"/>
    <x v="0"/>
    <n v="4"/>
    <n v="0"/>
    <n v="45776"/>
    <n v="0.338566000046923"/>
    <s v="Moderate DTI"/>
    <x v="0"/>
    <n v="2"/>
    <x v="4"/>
    <s v="New York"/>
    <s v="Missed"/>
    <s v="Missed"/>
    <s v="Late"/>
    <x v="2"/>
    <s v="On-time"/>
    <s v="Missed"/>
  </r>
  <r>
    <s v="CUST0054"/>
    <n v="42"/>
    <n v="194819"/>
    <n v="339"/>
    <x v="0"/>
    <n v="0.65786312237092004"/>
    <x v="0"/>
    <n v="3"/>
    <n v="0"/>
    <n v="29427"/>
    <n v="0.13347153328675401"/>
    <s v="Low DTI"/>
    <x v="0"/>
    <n v="4"/>
    <x v="1"/>
    <s v="Houston"/>
    <s v="Late"/>
    <s v="Missed"/>
    <s v="On-time"/>
    <x v="2"/>
    <s v="On-time"/>
    <s v="Missed"/>
  </r>
  <r>
    <s v="CUST0055"/>
    <n v="31"/>
    <n v="90353"/>
    <n v="711"/>
    <x v="1"/>
    <n v="0.37026748259022602"/>
    <x v="0"/>
    <n v="4"/>
    <n v="0"/>
    <n v="69342"/>
    <n v="0.23637104543219101"/>
    <s v="Low DTI"/>
    <x v="3"/>
    <n v="9"/>
    <x v="0"/>
    <s v="Houston"/>
    <s v="Late"/>
    <s v="On-time"/>
    <s v="On-time"/>
    <x v="2"/>
    <s v="Late"/>
    <s v="Late"/>
  </r>
  <r>
    <s v="CUST0056"/>
    <n v="67"/>
    <n v="198401"/>
    <n v="715"/>
    <x v="1"/>
    <n v="0.55467526958885305"/>
    <x v="0"/>
    <n v="2"/>
    <n v="0"/>
    <n v="17401"/>
    <n v="0.20720660400622701"/>
    <s v="Low DTI"/>
    <x v="3"/>
    <n v="12"/>
    <x v="3"/>
    <s v="Phoenix"/>
    <s v="On-time"/>
    <s v="Late"/>
    <s v="Late"/>
    <x v="2"/>
    <s v="Late"/>
    <s v="Late"/>
  </r>
  <r>
    <s v="CUST0057"/>
    <n v="26"/>
    <n v="76629"/>
    <n v="673"/>
    <x v="1"/>
    <n v="0.66265931531661504"/>
    <x v="0"/>
    <n v="3"/>
    <n v="0"/>
    <n v="35372"/>
    <n v="0.31420922456203398"/>
    <s v="Moderate DTI"/>
    <x v="0"/>
    <n v="3"/>
    <x v="0"/>
    <s v="Chicago"/>
    <s v="On-time"/>
    <s v="Late"/>
    <s v="Late"/>
    <x v="0"/>
    <s v="Missed"/>
    <s v="On-time"/>
  </r>
  <r>
    <s v="CUST0058"/>
    <n v="43"/>
    <n v="107193"/>
    <n v="843"/>
    <x v="2"/>
    <n v="0.362736184870176"/>
    <x v="0"/>
    <n v="0"/>
    <n v="0"/>
    <n v="70793"/>
    <n v="0.35747012616653401"/>
    <s v="Moderate DTI"/>
    <x v="0"/>
    <n v="12"/>
    <x v="0"/>
    <s v="Chicago"/>
    <s v="Missed"/>
    <s v="Missed"/>
    <s v="Missed"/>
    <x v="1"/>
    <s v="Late"/>
    <s v="On-time"/>
  </r>
  <r>
    <s v="CUST0059"/>
    <n v="70"/>
    <n v="81040"/>
    <n v="401"/>
    <x v="0"/>
    <n v="0.55961044202143495"/>
    <x v="0"/>
    <n v="4"/>
    <n v="0"/>
    <n v="63443"/>
    <n v="0.37421528043764501"/>
    <s v="Moderate DTI"/>
    <x v="3"/>
    <n v="11"/>
    <x v="2"/>
    <s v="Chicago"/>
    <s v="Late"/>
    <s v="Missed"/>
    <s v="Missed"/>
    <x v="1"/>
    <s v="Late"/>
    <s v="Missed"/>
  </r>
  <r>
    <s v="CUST0060"/>
    <n v="19"/>
    <n v="107658"/>
    <n v="538"/>
    <x v="0"/>
    <n v="0.70038550979103897"/>
    <x v="2"/>
    <n v="4"/>
    <n v="0"/>
    <n v="37445"/>
    <n v="0.39988166447781498"/>
    <s v="Moderate DTI"/>
    <x v="0"/>
    <n v="4"/>
    <x v="2"/>
    <s v="Phoenix"/>
    <s v="On-time"/>
    <s v="Late"/>
    <s v="Missed"/>
    <x v="0"/>
    <s v="Missed"/>
    <s v="On-time"/>
  </r>
  <r>
    <s v="CUST0061"/>
    <n v="37"/>
    <n v="140899"/>
    <n v="826"/>
    <x v="2"/>
    <n v="0.25236744503888597"/>
    <x v="1"/>
    <n v="0"/>
    <n v="1"/>
    <n v="64950"/>
    <n v="0.43721168465723698"/>
    <s v="Moderate DTI"/>
    <x v="2"/>
    <n v="9"/>
    <x v="0"/>
    <s v="Houston"/>
    <s v="On-time"/>
    <s v="Missed"/>
    <s v="Late"/>
    <x v="1"/>
    <s v="Missed"/>
    <s v="On-time"/>
  </r>
  <r>
    <s v="CUST0062"/>
    <n v="45"/>
    <n v="184160"/>
    <n v="475"/>
    <x v="0"/>
    <n v="0.50497046764892795"/>
    <x v="0"/>
    <n v="4"/>
    <n v="0"/>
    <n v="49893"/>
    <n v="0.36072454536833998"/>
    <s v="Moderate DTI"/>
    <x v="0"/>
    <n v="8"/>
    <x v="3"/>
    <s v="Houston"/>
    <s v="Late"/>
    <s v="Missed"/>
    <s v="On-time"/>
    <x v="2"/>
    <s v="Missed"/>
    <s v="Missed"/>
  </r>
  <r>
    <s v="CUST0063"/>
    <n v="64"/>
    <n v="155507"/>
    <n v="801"/>
    <x v="2"/>
    <n v="0.36359312336013699"/>
    <x v="0"/>
    <n v="0"/>
    <n v="0"/>
    <n v="81202"/>
    <n v="0.48873358988944099"/>
    <s v="Moderate DTI"/>
    <x v="3"/>
    <n v="19"/>
    <x v="0"/>
    <s v="New York"/>
    <s v="Missed"/>
    <s v="Late"/>
    <s v="Late"/>
    <x v="2"/>
    <s v="Late"/>
    <s v="On-time"/>
  </r>
  <r>
    <s v="CUST0064"/>
    <n v="24"/>
    <n v="109074"/>
    <n v="739"/>
    <x v="1"/>
    <n v="0.26510202350137202"/>
    <x v="1"/>
    <n v="3"/>
    <n v="0"/>
    <n v="54247"/>
    <n v="0.31195025212646799"/>
    <s v="Moderate DTI"/>
    <x v="1"/>
    <n v="6"/>
    <x v="2"/>
    <s v="Phoenix"/>
    <s v="Missed"/>
    <s v="Missed"/>
    <s v="Missed"/>
    <x v="1"/>
    <s v="On-time"/>
    <s v="Missed"/>
  </r>
  <r>
    <s v="CUST0065"/>
    <n v="61"/>
    <n v="43251"/>
    <n v="773"/>
    <x v="2"/>
    <n v="0.19270965190195399"/>
    <x v="1"/>
    <n v="2"/>
    <n v="0"/>
    <n v="86488"/>
    <n v="0.28266788457494502"/>
    <s v="Low DTI"/>
    <x v="2"/>
    <n v="1"/>
    <x v="3"/>
    <s v="New York"/>
    <s v="On-time"/>
    <s v="Missed"/>
    <s v="Late"/>
    <x v="2"/>
    <s v="On-time"/>
    <s v="Late"/>
  </r>
  <r>
    <s v="CUST0066"/>
    <n v="25"/>
    <n v="117634"/>
    <n v="815"/>
    <x v="2"/>
    <n v="0.26187028556425901"/>
    <x v="1"/>
    <n v="0"/>
    <n v="0"/>
    <n v="95267"/>
    <n v="0.360730736336004"/>
    <s v="Moderate DTI"/>
    <x v="0"/>
    <n v="6"/>
    <x v="0"/>
    <s v="Phoenix"/>
    <s v="Missed"/>
    <s v="On-time"/>
    <s v="Missed"/>
    <x v="1"/>
    <s v="Late"/>
    <s v="Missed"/>
  </r>
  <r>
    <s v="CUST0067"/>
    <n v="64"/>
    <n v="107658"/>
    <n v="612"/>
    <x v="1"/>
    <n v="0.51200580115040195"/>
    <x v="0"/>
    <n v="1"/>
    <n v="0"/>
    <n v="99005"/>
    <n v="0.27835888250074098"/>
    <s v="Low DTI"/>
    <x v="3"/>
    <n v="7"/>
    <x v="4"/>
    <s v="New York"/>
    <s v="On-time"/>
    <s v="Late"/>
    <s v="On-time"/>
    <x v="1"/>
    <s v="On-time"/>
    <s v="On-time"/>
  </r>
  <r>
    <s v="CUST0068"/>
    <n v="52"/>
    <n v="172164"/>
    <n v="600"/>
    <x v="1"/>
    <n v="0.17783110888765"/>
    <x v="1"/>
    <n v="0"/>
    <n v="0"/>
    <n v="7468"/>
    <n v="0.48525647287750401"/>
    <s v="Moderate DTI"/>
    <x v="0"/>
    <n v="6"/>
    <x v="4"/>
    <s v="Los Angeles"/>
    <s v="Missed"/>
    <s v="Missed"/>
    <s v="On-time"/>
    <x v="0"/>
    <s v="Late"/>
    <s v="Missed"/>
  </r>
  <r>
    <s v="CUST0069"/>
    <n v="31"/>
    <n v="107658"/>
    <n v="796"/>
    <x v="2"/>
    <n v="0.389854595182272"/>
    <x v="0"/>
    <n v="4"/>
    <n v="0"/>
    <n v="85026"/>
    <n v="0.41309834731352102"/>
    <s v="Moderate DTI"/>
    <x v="0"/>
    <n v="13"/>
    <x v="0"/>
    <s v="Chicago"/>
    <s v="Missed"/>
    <s v="Late"/>
    <s v="Missed"/>
    <x v="0"/>
    <s v="Late"/>
    <s v="Missed"/>
  </r>
  <r>
    <s v="CUST0070"/>
    <n v="34"/>
    <n v="81617"/>
    <n v="822"/>
    <x v="2"/>
    <n v="0.66263888137057902"/>
    <x v="0"/>
    <n v="6"/>
    <n v="0"/>
    <n v="24917"/>
    <n v="0.37502781441995098"/>
    <s v="Moderate DTI"/>
    <x v="1"/>
    <n v="18"/>
    <x v="3"/>
    <s v="Chicago"/>
    <s v="Late"/>
    <s v="Missed"/>
    <s v="On-time"/>
    <x v="2"/>
    <s v="On-time"/>
    <s v="Missed"/>
  </r>
  <r>
    <s v="CUST0071"/>
    <n v="53"/>
    <n v="196415"/>
    <n v="797"/>
    <x v="2"/>
    <n v="0.58980219268378697"/>
    <x v="0"/>
    <n v="6"/>
    <n v="1"/>
    <n v="77348"/>
    <n v="0.31314193440413501"/>
    <s v="Moderate DTI"/>
    <x v="0"/>
    <n v="4"/>
    <x v="0"/>
    <s v="Houston"/>
    <s v="On-time"/>
    <s v="On-time"/>
    <s v="Missed"/>
    <x v="1"/>
    <s v="On-time"/>
    <s v="Late"/>
  </r>
  <r>
    <s v="CUST0072"/>
    <n v="67"/>
    <n v="159572"/>
    <n v="371"/>
    <x v="0"/>
    <n v="0.393898475412368"/>
    <x v="0"/>
    <n v="3"/>
    <n v="0"/>
    <n v="16310"/>
    <n v="0.25925228285851298"/>
    <s v="Low DTI"/>
    <x v="2"/>
    <n v="17"/>
    <x v="0"/>
    <s v="Los Angeles"/>
    <s v="Missed"/>
    <s v="On-time"/>
    <s v="On-time"/>
    <x v="1"/>
    <s v="On-time"/>
    <s v="On-time"/>
  </r>
  <r>
    <s v="CUST0073"/>
    <n v="57"/>
    <n v="136465"/>
    <n v="567"/>
    <x v="0"/>
    <n v="0.83793808267174397"/>
    <x v="2"/>
    <n v="5"/>
    <n v="0"/>
    <n v="95303"/>
    <n v="0.37013250045677598"/>
    <s v="Moderate DTI"/>
    <x v="0"/>
    <n v="19"/>
    <x v="2"/>
    <s v="Chicago"/>
    <s v="Late"/>
    <s v="Late"/>
    <s v="Missed"/>
    <x v="2"/>
    <s v="On-time"/>
    <s v="Missed"/>
  </r>
  <r>
    <s v="CUST0074"/>
    <n v="21"/>
    <n v="36447"/>
    <n v="448"/>
    <x v="0"/>
    <n v="0.87860728278233202"/>
    <x v="2"/>
    <n v="3"/>
    <n v="0"/>
    <n v="13355"/>
    <n v="0.18729025481530401"/>
    <s v="Low DTI"/>
    <x v="1"/>
    <n v="11"/>
    <x v="4"/>
    <s v="Houston"/>
    <s v="On-time"/>
    <s v="On-time"/>
    <s v="Missed"/>
    <x v="0"/>
    <s v="On-time"/>
    <s v="Missed"/>
  </r>
  <r>
    <s v="CUST0075"/>
    <n v="19"/>
    <n v="159188"/>
    <n v="835"/>
    <x v="2"/>
    <n v="0.50522448630794503"/>
    <x v="0"/>
    <n v="5"/>
    <n v="0"/>
    <n v="96507"/>
    <n v="0.45343635334410198"/>
    <s v="Moderate DTI"/>
    <x v="0"/>
    <n v="16"/>
    <x v="2"/>
    <s v="Los Angeles"/>
    <s v="On-time"/>
    <s v="On-time"/>
    <s v="On-time"/>
    <x v="1"/>
    <s v="On-time"/>
    <s v="On-time"/>
  </r>
  <r>
    <s v="CUST0076"/>
    <n v="23"/>
    <n v="181267"/>
    <n v="542"/>
    <x v="0"/>
    <n v="0.05"/>
    <x v="1"/>
    <n v="6"/>
    <n v="0"/>
    <n v="24851"/>
    <n v="0.28223632946146199"/>
    <s v="Low DTI"/>
    <x v="3"/>
    <n v="12"/>
    <x v="2"/>
    <s v="Chicago"/>
    <s v="Missed"/>
    <s v="Missed"/>
    <s v="Late"/>
    <x v="1"/>
    <s v="Late"/>
    <s v="On-time"/>
  </r>
  <r>
    <s v="CUST0077"/>
    <n v="71"/>
    <n v="107658"/>
    <n v="611"/>
    <x v="1"/>
    <n v="0.67728963940325104"/>
    <x v="0"/>
    <n v="6"/>
    <n v="0"/>
    <n v="23908"/>
    <n v="0.33051067332407202"/>
    <s v="Moderate DTI"/>
    <x v="0"/>
    <n v="1"/>
    <x v="0"/>
    <s v="New York"/>
    <s v="Late"/>
    <s v="Missed"/>
    <s v="Late"/>
    <x v="2"/>
    <s v="Missed"/>
    <s v="Missed"/>
  </r>
  <r>
    <s v="CUST0078"/>
    <n v="59"/>
    <n v="59425"/>
    <n v="577"/>
    <x v="0"/>
    <n v="0.05"/>
    <x v="1"/>
    <n v="0"/>
    <n v="0"/>
    <n v="65548"/>
    <n v="0.209039892380671"/>
    <s v="Low DTI"/>
    <x v="2"/>
    <n v="12"/>
    <x v="2"/>
    <s v="Phoenix"/>
    <s v="Missed"/>
    <s v="On-time"/>
    <s v="On-time"/>
    <x v="2"/>
    <s v="On-time"/>
    <s v="On-time"/>
  </r>
  <r>
    <s v="CUST0079"/>
    <n v="21"/>
    <n v="97844"/>
    <n v="728"/>
    <x v="1"/>
    <n v="0.79522922214401304"/>
    <x v="2"/>
    <n v="2"/>
    <n v="0"/>
    <n v="82909"/>
    <n v="0.37229862631192201"/>
    <s v="Moderate DTI"/>
    <x v="0"/>
    <n v="6"/>
    <x v="4"/>
    <s v="Los Angeles"/>
    <s v="On-time"/>
    <s v="Missed"/>
    <s v="On-time"/>
    <x v="0"/>
    <s v="On-time"/>
    <s v="Late"/>
  </r>
  <r>
    <s v="CUST0080"/>
    <n v="71"/>
    <n v="115235"/>
    <n v="427"/>
    <x v="0"/>
    <n v="0.71671698014845897"/>
    <x v="2"/>
    <n v="1"/>
    <n v="0"/>
    <n v="31454"/>
    <n v="0.25462583871616701"/>
    <s v="Low DTI"/>
    <x v="0"/>
    <n v="9"/>
    <x v="2"/>
    <s v="Houston"/>
    <s v="Missed"/>
    <s v="On-time"/>
    <s v="Late"/>
    <x v="2"/>
    <s v="On-time"/>
    <s v="Late"/>
  </r>
  <r>
    <s v="CUST0081"/>
    <n v="46"/>
    <n v="189358"/>
    <n v="824"/>
    <x v="2"/>
    <n v="0.85484250082760405"/>
    <x v="2"/>
    <n v="3"/>
    <n v="0"/>
    <n v="4617"/>
    <n v="0.36492287903050902"/>
    <s v="Moderate DTI"/>
    <x v="3"/>
    <n v="5"/>
    <x v="4"/>
    <s v="Los Angeles"/>
    <s v="Missed"/>
    <s v="Late"/>
    <s v="Late"/>
    <x v="2"/>
    <s v="Late"/>
    <s v="On-time"/>
  </r>
  <r>
    <s v="CUST0082"/>
    <n v="35"/>
    <n v="88847"/>
    <n v="686"/>
    <x v="1"/>
    <n v="0.55205311167354498"/>
    <x v="0"/>
    <n v="4"/>
    <n v="0"/>
    <n v="92329"/>
    <n v="0.37573934689773802"/>
    <s v="Moderate DTI"/>
    <x v="3"/>
    <n v="2"/>
    <x v="2"/>
    <s v="Houston"/>
    <s v="Late"/>
    <s v="Late"/>
    <s v="Missed"/>
    <x v="2"/>
    <s v="Late"/>
    <s v="Late"/>
  </r>
  <r>
    <s v="CUST0083"/>
    <n v="43"/>
    <n v="172504"/>
    <n v="835"/>
    <x v="2"/>
    <n v="0.42772284656363202"/>
    <x v="0"/>
    <n v="5"/>
    <n v="0"/>
    <n v="28298"/>
    <n v="0.235236788641145"/>
    <s v="Low DTI"/>
    <x v="2"/>
    <n v="2"/>
    <x v="4"/>
    <s v="Los Angeles"/>
    <s v="On-time"/>
    <s v="Missed"/>
    <s v="Late"/>
    <x v="0"/>
    <s v="Missed"/>
    <s v="Missed"/>
  </r>
  <r>
    <s v="CUST0084"/>
    <n v="61"/>
    <n v="115235"/>
    <n v="820"/>
    <x v="2"/>
    <n v="0.40997977326195501"/>
    <x v="0"/>
    <n v="4"/>
    <n v="0"/>
    <n v="10942"/>
    <n v="0.18764708790859999"/>
    <s v="Low DTI"/>
    <x v="3"/>
    <n v="17"/>
    <x v="2"/>
    <s v="Houston"/>
    <s v="Late"/>
    <s v="Late"/>
    <s v="Missed"/>
    <x v="0"/>
    <s v="Late"/>
    <s v="Late"/>
  </r>
  <r>
    <s v="CUST0085"/>
    <n v="51"/>
    <n v="186230"/>
    <n v="336"/>
    <x v="0"/>
    <n v="0.39074796579381998"/>
    <x v="0"/>
    <n v="2"/>
    <n v="0"/>
    <n v="51440"/>
    <n v="0.45318999165445401"/>
    <s v="Moderate DTI"/>
    <x v="0"/>
    <n v="10"/>
    <x v="2"/>
    <s v="Chicago"/>
    <s v="On-time"/>
    <s v="Missed"/>
    <s v="Late"/>
    <x v="2"/>
    <s v="Late"/>
    <s v="On-time"/>
  </r>
  <r>
    <s v="CUST0086"/>
    <n v="27"/>
    <n v="80215"/>
    <n v="572"/>
    <x v="0"/>
    <n v="0.69621373073493997"/>
    <x v="0"/>
    <n v="5"/>
    <n v="0"/>
    <n v="12707"/>
    <n v="0.28077009659709101"/>
    <s v="Low DTI"/>
    <x v="0"/>
    <n v="19"/>
    <x v="3"/>
    <s v="New York"/>
    <s v="Missed"/>
    <s v="Missed"/>
    <s v="On-time"/>
    <x v="0"/>
    <s v="Missed"/>
    <s v="On-time"/>
  </r>
  <r>
    <s v="CUST0087"/>
    <n v="53"/>
    <n v="141131"/>
    <n v="601"/>
    <x v="1"/>
    <n v="0.64245429790117503"/>
    <x v="0"/>
    <n v="3"/>
    <n v="1"/>
    <n v="92865"/>
    <n v="0.32248488160456301"/>
    <s v="Moderate DTI"/>
    <x v="2"/>
    <n v="4"/>
    <x v="4"/>
    <s v="Chicago"/>
    <s v="On-time"/>
    <s v="Missed"/>
    <s v="On-time"/>
    <x v="0"/>
    <s v="On-time"/>
    <s v="Missed"/>
  </r>
  <r>
    <s v="CUST0088"/>
    <n v="31"/>
    <n v="188416"/>
    <n v="680"/>
    <x v="1"/>
    <n v="0.524045126686842"/>
    <x v="0"/>
    <n v="0"/>
    <n v="0"/>
    <n v="35598"/>
    <n v="0.34854645246467397"/>
    <s v="Moderate DTI"/>
    <x v="3"/>
    <n v="18"/>
    <x v="4"/>
    <s v="New York"/>
    <s v="On-time"/>
    <s v="Late"/>
    <s v="On-time"/>
    <x v="0"/>
    <s v="Missed"/>
    <s v="On-time"/>
  </r>
  <r>
    <s v="CUST0089"/>
    <n v="48"/>
    <n v="129585"/>
    <n v="458"/>
    <x v="0"/>
    <n v="0.35556373841460498"/>
    <x v="0"/>
    <n v="4"/>
    <n v="0"/>
    <n v="51431"/>
    <n v="0.17462998701017701"/>
    <s v="Low DTI"/>
    <x v="3"/>
    <n v="18"/>
    <x v="4"/>
    <s v="Chicago"/>
    <s v="On-time"/>
    <s v="Late"/>
    <s v="Missed"/>
    <x v="0"/>
    <s v="Missed"/>
    <s v="On-time"/>
  </r>
  <r>
    <s v="CUST0090"/>
    <n v="65"/>
    <n v="127856"/>
    <n v="361"/>
    <x v="0"/>
    <n v="1.0258425262600499"/>
    <x v="2"/>
    <n v="2"/>
    <n v="0"/>
    <n v="2200"/>
    <n v="0.34626661368198802"/>
    <s v="Moderate DTI"/>
    <x v="0"/>
    <n v="14"/>
    <x v="1"/>
    <s v="Chicago"/>
    <s v="On-time"/>
    <s v="Late"/>
    <s v="On-time"/>
    <x v="1"/>
    <s v="Missed"/>
    <s v="On-time"/>
  </r>
  <r>
    <s v="CUST0091"/>
    <n v="32"/>
    <n v="90353"/>
    <n v="664"/>
    <x v="1"/>
    <n v="0.68247492279257305"/>
    <x v="0"/>
    <n v="3"/>
    <n v="0"/>
    <n v="20525"/>
    <n v="0.309912653615463"/>
    <s v="Moderate DTI"/>
    <x v="0"/>
    <n v="15"/>
    <x v="2"/>
    <s v="Los Angeles"/>
    <s v="On-time"/>
    <s v="Late"/>
    <s v="Late"/>
    <x v="2"/>
    <s v="On-time"/>
    <s v="Late"/>
  </r>
  <r>
    <s v="CUST0092"/>
    <n v="25"/>
    <n v="18709"/>
    <n v="444"/>
    <x v="0"/>
    <n v="0.18045761604531799"/>
    <x v="1"/>
    <n v="6"/>
    <n v="0"/>
    <n v="44437"/>
    <n v="0.23564693022955999"/>
    <s v="Low DTI"/>
    <x v="0"/>
    <n v="8"/>
    <x v="4"/>
    <s v="Phoenix"/>
    <s v="Missed"/>
    <s v="Late"/>
    <s v="Late"/>
    <x v="2"/>
    <s v="On-time"/>
    <s v="Late"/>
  </r>
  <r>
    <s v="CUST0093"/>
    <n v="31"/>
    <n v="90353"/>
    <n v="372"/>
    <x v="0"/>
    <n v="0.39674879681257402"/>
    <x v="0"/>
    <n v="6"/>
    <n v="0"/>
    <n v="59192"/>
    <n v="0.184346401516227"/>
    <s v="Low DTI"/>
    <x v="3"/>
    <n v="3"/>
    <x v="1"/>
    <s v="Houston"/>
    <s v="Late"/>
    <s v="Late"/>
    <s v="Missed"/>
    <x v="2"/>
    <s v="Missed"/>
    <s v="On-time"/>
  </r>
  <r>
    <s v="CUST0094"/>
    <n v="40"/>
    <n v="107658"/>
    <n v="439"/>
    <x v="0"/>
    <n v="0.68635521948174105"/>
    <x v="0"/>
    <n v="3"/>
    <n v="0"/>
    <n v="17401"/>
    <n v="0.36058855479572699"/>
    <s v="Moderate DTI"/>
    <x v="0"/>
    <n v="14"/>
    <x v="3"/>
    <s v="Houston"/>
    <s v="On-time"/>
    <s v="Late"/>
    <s v="Missed"/>
    <x v="2"/>
    <s v="On-time"/>
    <s v="Late"/>
  </r>
  <r>
    <s v="CUST0095"/>
    <n v="74"/>
    <n v="35056"/>
    <n v="648"/>
    <x v="1"/>
    <n v="0.34009221575346299"/>
    <x v="0"/>
    <n v="3"/>
    <n v="0"/>
    <n v="67236"/>
    <n v="0.41277120081948698"/>
    <s v="Moderate DTI"/>
    <x v="2"/>
    <n v="11"/>
    <x v="4"/>
    <s v="Houston"/>
    <s v="Missed"/>
    <s v="Late"/>
    <s v="Missed"/>
    <x v="1"/>
    <s v="Missed"/>
    <s v="On-time"/>
  </r>
  <r>
    <s v="CUST0096"/>
    <n v="57"/>
    <n v="90353"/>
    <n v="306"/>
    <x v="0"/>
    <n v="0.57030959176517704"/>
    <x v="0"/>
    <n v="3"/>
    <n v="0"/>
    <n v="11251"/>
    <n v="0.31785905173927997"/>
    <s v="Moderate DTI"/>
    <x v="3"/>
    <n v="2"/>
    <x v="4"/>
    <s v="New York"/>
    <s v="On-time"/>
    <s v="Late"/>
    <s v="Missed"/>
    <x v="0"/>
    <s v="Missed"/>
    <s v="Missed"/>
  </r>
  <r>
    <s v="CUST0097"/>
    <n v="38"/>
    <n v="121357"/>
    <n v="742"/>
    <x v="1"/>
    <n v="0.69015926006722905"/>
    <x v="0"/>
    <n v="5"/>
    <n v="0"/>
    <n v="8110"/>
    <n v="0.15655346581503099"/>
    <s v="Low DTI"/>
    <x v="1"/>
    <n v="13"/>
    <x v="1"/>
    <s v="Houston"/>
    <s v="On-time"/>
    <s v="On-time"/>
    <s v="Missed"/>
    <x v="1"/>
    <s v="On-time"/>
    <s v="On-time"/>
  </r>
  <r>
    <s v="CUST0098"/>
    <n v="33"/>
    <n v="152326"/>
    <n v="383"/>
    <x v="0"/>
    <n v="0.05"/>
    <x v="1"/>
    <n v="3"/>
    <n v="0"/>
    <n v="10778"/>
    <n v="0.19426671828252601"/>
    <s v="Low DTI"/>
    <x v="2"/>
    <n v="16"/>
    <x v="2"/>
    <s v="Houston"/>
    <s v="Missed"/>
    <s v="Late"/>
    <s v="On-time"/>
    <x v="2"/>
    <s v="Missed"/>
    <s v="On-time"/>
  </r>
  <r>
    <s v="CUST0099"/>
    <n v="62"/>
    <n v="189197"/>
    <n v="639"/>
    <x v="1"/>
    <n v="0.47839246004214903"/>
    <x v="0"/>
    <n v="4"/>
    <n v="1"/>
    <n v="50183"/>
    <n v="0.256787629067594"/>
    <s v="Low DTI"/>
    <x v="0"/>
    <n v="18"/>
    <x v="3"/>
    <s v="Los Angeles"/>
    <s v="Missed"/>
    <s v="Late"/>
    <s v="On-time"/>
    <x v="1"/>
    <s v="On-time"/>
    <s v="Late"/>
  </r>
  <r>
    <s v="CUST0100"/>
    <n v="35"/>
    <n v="54298"/>
    <n v="495"/>
    <x v="0"/>
    <n v="0.48624183071302401"/>
    <x v="0"/>
    <n v="2"/>
    <n v="0"/>
    <n v="13355"/>
    <n v="0.45646197411607498"/>
    <s v="Moderate DTI"/>
    <x v="3"/>
    <n v="5"/>
    <x v="4"/>
    <s v="Chicago"/>
    <s v="Late"/>
    <s v="Missed"/>
    <s v="Missed"/>
    <x v="0"/>
    <s v="Late"/>
    <s v="Late"/>
  </r>
  <r>
    <s v="CUST0101"/>
    <n v="64"/>
    <n v="106007"/>
    <n v="820"/>
    <x v="2"/>
    <n v="0.41758550886324203"/>
    <x v="0"/>
    <n v="5"/>
    <n v="0"/>
    <n v="11061"/>
    <n v="0.27532493379011203"/>
    <s v="Low DTI"/>
    <x v="0"/>
    <n v="3"/>
    <x v="2"/>
    <s v="Houston"/>
    <s v="On-time"/>
    <s v="Late"/>
    <s v="Missed"/>
    <x v="0"/>
    <s v="Late"/>
    <s v="Missed"/>
  </r>
  <r>
    <s v="CUST0102"/>
    <n v="70"/>
    <n v="155734"/>
    <n v="563"/>
    <x v="0"/>
    <n v="0.56033902698920801"/>
    <x v="0"/>
    <n v="3"/>
    <n v="0"/>
    <n v="79354"/>
    <n v="0.25314310772018001"/>
    <s v="Low DTI"/>
    <x v="1"/>
    <n v="6"/>
    <x v="3"/>
    <s v="Phoenix"/>
    <s v="Late"/>
    <s v="Missed"/>
    <s v="Missed"/>
    <x v="1"/>
    <s v="Missed"/>
    <s v="On-time"/>
  </r>
  <r>
    <s v="CUST0103"/>
    <n v="41"/>
    <n v="163216"/>
    <n v="429"/>
    <x v="0"/>
    <n v="0.631503921499174"/>
    <x v="0"/>
    <n v="1"/>
    <n v="1"/>
    <n v="45776"/>
    <n v="0.132651520032388"/>
    <s v="Low DTI"/>
    <x v="3"/>
    <n v="18"/>
    <x v="0"/>
    <s v="Houston"/>
    <s v="Late"/>
    <s v="Missed"/>
    <s v="Late"/>
    <x v="0"/>
    <s v="Missed"/>
    <s v="On-time"/>
  </r>
  <r>
    <s v="CUST0104"/>
    <n v="43"/>
    <n v="107658"/>
    <n v="679"/>
    <x v="1"/>
    <n v="0.52841018886492097"/>
    <x v="0"/>
    <n v="1"/>
    <n v="0"/>
    <n v="60628"/>
    <n v="0.23433152098898799"/>
    <s v="Low DTI"/>
    <x v="0"/>
    <n v="16"/>
    <x v="0"/>
    <s v="New York"/>
    <s v="Late"/>
    <s v="On-time"/>
    <s v="Late"/>
    <x v="0"/>
    <s v="Missed"/>
    <s v="Missed"/>
  </r>
  <r>
    <s v="CUST0105"/>
    <n v="42"/>
    <n v="178165"/>
    <n v="383"/>
    <x v="0"/>
    <n v="0.42523452119011301"/>
    <x v="0"/>
    <n v="2"/>
    <n v="0"/>
    <n v="45776"/>
    <n v="0.17670636460091599"/>
    <s v="Low DTI"/>
    <x v="1"/>
    <n v="15"/>
    <x v="3"/>
    <s v="New York"/>
    <s v="Missed"/>
    <s v="On-time"/>
    <s v="Missed"/>
    <x v="2"/>
    <s v="On-time"/>
    <s v="Late"/>
  </r>
  <r>
    <s v="CUST0106"/>
    <n v="62"/>
    <n v="99076"/>
    <n v="340"/>
    <x v="0"/>
    <n v="0.62652425995685301"/>
    <x v="0"/>
    <n v="6"/>
    <n v="0"/>
    <n v="30443"/>
    <n v="0.199682016907719"/>
    <s v="Low DTI"/>
    <x v="3"/>
    <n v="14"/>
    <x v="1"/>
    <s v="New York"/>
    <s v="Late"/>
    <s v="Late"/>
    <s v="Late"/>
    <x v="1"/>
    <s v="Missed"/>
    <s v="Missed"/>
  </r>
  <r>
    <s v="CUST0107"/>
    <n v="58"/>
    <n v="117023"/>
    <n v="339"/>
    <x v="0"/>
    <n v="0.509810681854871"/>
    <x v="0"/>
    <n v="0"/>
    <n v="0"/>
    <n v="42556"/>
    <n v="0.31199506801587401"/>
    <s v="Moderate DTI"/>
    <x v="0"/>
    <n v="7"/>
    <x v="3"/>
    <s v="Houston"/>
    <s v="On-time"/>
    <s v="On-time"/>
    <s v="Late"/>
    <x v="0"/>
    <s v="Late"/>
    <s v="On-time"/>
  </r>
  <r>
    <s v="CUST0108"/>
    <n v="46"/>
    <n v="127816"/>
    <n v="820"/>
    <x v="2"/>
    <n v="0.45385991736090397"/>
    <x v="0"/>
    <n v="0"/>
    <n v="0"/>
    <n v="94000"/>
    <n v="0.25988357943888202"/>
    <s v="Low DTI"/>
    <x v="1"/>
    <n v="18"/>
    <x v="3"/>
    <s v="Los Angeles"/>
    <s v="Missed"/>
    <s v="Missed"/>
    <s v="Late"/>
    <x v="2"/>
    <s v="On-time"/>
    <s v="Missed"/>
  </r>
  <r>
    <s v="CUST0109"/>
    <n v="32"/>
    <n v="19748"/>
    <n v="354"/>
    <x v="0"/>
    <n v="0.237544122932216"/>
    <x v="1"/>
    <n v="6"/>
    <n v="0"/>
    <n v="29584"/>
    <n v="0.469949445267134"/>
    <s v="Moderate DTI"/>
    <x v="0"/>
    <n v="7"/>
    <x v="1"/>
    <s v="Phoenix"/>
    <s v="Missed"/>
    <s v="Late"/>
    <s v="On-time"/>
    <x v="0"/>
    <s v="Missed"/>
    <s v="Late"/>
  </r>
  <r>
    <s v="CUST0110"/>
    <n v="62"/>
    <n v="170026"/>
    <n v="523"/>
    <x v="0"/>
    <n v="0.18746904294678399"/>
    <x v="1"/>
    <n v="5"/>
    <n v="0"/>
    <n v="64950"/>
    <n v="0.40780033727074699"/>
    <s v="Moderate DTI"/>
    <x v="0"/>
    <n v="17"/>
    <x v="1"/>
    <s v="Houston"/>
    <s v="Missed"/>
    <s v="Missed"/>
    <s v="On-time"/>
    <x v="0"/>
    <s v="On-time"/>
    <s v="On-time"/>
  </r>
  <r>
    <s v="CUST0111"/>
    <n v="18"/>
    <n v="43732"/>
    <n v="474"/>
    <x v="0"/>
    <n v="0.23375404145718501"/>
    <x v="1"/>
    <n v="5"/>
    <n v="0"/>
    <n v="76774"/>
    <n v="0.23911160621896599"/>
    <s v="Low DTI"/>
    <x v="1"/>
    <n v="15"/>
    <x v="2"/>
    <s v="Los Angeles"/>
    <s v="Missed"/>
    <s v="Missed"/>
    <s v="On-time"/>
    <x v="0"/>
    <s v="Late"/>
    <s v="Late"/>
  </r>
  <r>
    <s v="CUST0112"/>
    <n v="42"/>
    <n v="16015"/>
    <n v="332"/>
    <x v="0"/>
    <n v="0.55566581224404299"/>
    <x v="0"/>
    <n v="5"/>
    <n v="0"/>
    <n v="8828"/>
    <n v="0.20831821582594801"/>
    <s v="Low DTI"/>
    <x v="1"/>
    <n v="19"/>
    <x v="2"/>
    <s v="Los Angeles"/>
    <s v="Late"/>
    <s v="Missed"/>
    <s v="Late"/>
    <x v="0"/>
    <s v="Late"/>
    <s v="On-time"/>
  </r>
  <r>
    <s v="CUST0113"/>
    <n v="24"/>
    <n v="153311"/>
    <n v="475"/>
    <x v="0"/>
    <n v="0.48418425047872898"/>
    <x v="0"/>
    <n v="0"/>
    <n v="1"/>
    <n v="692"/>
    <n v="0.43826419356641899"/>
    <s v="Moderate DTI"/>
    <x v="0"/>
    <n v="18"/>
    <x v="1"/>
    <s v="Houston"/>
    <s v="Missed"/>
    <s v="Late"/>
    <s v="Late"/>
    <x v="0"/>
    <s v="Missed"/>
    <s v="On-time"/>
  </r>
  <r>
    <s v="CUST0114"/>
    <n v="26"/>
    <n v="107658"/>
    <n v="725"/>
    <x v="1"/>
    <n v="0.203943180358507"/>
    <x v="1"/>
    <n v="1"/>
    <n v="0"/>
    <n v="77743"/>
    <n v="0.46600424894834802"/>
    <s v="Moderate DTI"/>
    <x v="0"/>
    <n v="9"/>
    <x v="0"/>
    <s v="Houston"/>
    <s v="On-time"/>
    <s v="Late"/>
    <s v="Late"/>
    <x v="0"/>
    <s v="On-time"/>
    <s v="On-time"/>
  </r>
  <r>
    <s v="CUST0115"/>
    <n v="41"/>
    <n v="138961"/>
    <n v="826"/>
    <x v="2"/>
    <n v="0.62918356515876195"/>
    <x v="0"/>
    <n v="0"/>
    <n v="0"/>
    <n v="32588"/>
    <n v="0.1"/>
    <s v="Low DTI"/>
    <x v="1"/>
    <n v="16"/>
    <x v="0"/>
    <s v="Los Angeles"/>
    <s v="On-time"/>
    <s v="On-time"/>
    <s v="Missed"/>
    <x v="0"/>
    <s v="Missed"/>
    <s v="Late"/>
  </r>
  <r>
    <s v="CUST0116"/>
    <n v="18"/>
    <n v="121884"/>
    <n v="586"/>
    <x v="0"/>
    <n v="0.774861902635819"/>
    <x v="2"/>
    <n v="4"/>
    <n v="0"/>
    <n v="45776"/>
    <n v="0.30928576239716998"/>
    <s v="Moderate DTI"/>
    <x v="3"/>
    <n v="12"/>
    <x v="3"/>
    <s v="Los Angeles"/>
    <s v="On-time"/>
    <s v="Late"/>
    <s v="Late"/>
    <x v="0"/>
    <s v="Missed"/>
    <s v="Late"/>
  </r>
  <r>
    <s v="CUST0117"/>
    <n v="61"/>
    <n v="19835"/>
    <n v="629"/>
    <x v="1"/>
    <n v="0.38030127665673202"/>
    <x v="0"/>
    <n v="3"/>
    <n v="1"/>
    <n v="55980"/>
    <n v="0.27481216921032697"/>
    <s v="Low DTI"/>
    <x v="2"/>
    <n v="12"/>
    <x v="4"/>
    <s v="Los Angeles"/>
    <s v="Late"/>
    <s v="Late"/>
    <s v="Missed"/>
    <x v="1"/>
    <s v="Missed"/>
    <s v="Missed"/>
  </r>
  <r>
    <s v="CUST0118"/>
    <n v="25"/>
    <n v="84724"/>
    <n v="655"/>
    <x v="1"/>
    <n v="0.15180362852632501"/>
    <x v="1"/>
    <n v="5"/>
    <n v="0"/>
    <n v="22510"/>
    <n v="0.36491201400599299"/>
    <s v="Moderate DTI"/>
    <x v="0"/>
    <n v="6"/>
    <x v="3"/>
    <s v="Houston"/>
    <s v="Late"/>
    <s v="Late"/>
    <s v="On-time"/>
    <x v="0"/>
    <s v="On-time"/>
    <s v="Late"/>
  </r>
  <r>
    <s v="CUST0119"/>
    <n v="41"/>
    <n v="125448"/>
    <n v="644"/>
    <x v="1"/>
    <n v="0.358174723019617"/>
    <x v="0"/>
    <n v="1"/>
    <n v="1"/>
    <n v="82909"/>
    <n v="0.49426681241615"/>
    <s v="Moderate DTI"/>
    <x v="0"/>
    <n v="9"/>
    <x v="3"/>
    <s v="Los Angeles"/>
    <s v="On-time"/>
    <s v="Late"/>
    <s v="On-time"/>
    <x v="1"/>
    <s v="Late"/>
    <s v="Missed"/>
  </r>
  <r>
    <s v="CUST0120"/>
    <n v="28"/>
    <n v="134156"/>
    <n v="584"/>
    <x v="0"/>
    <n v="0.67089212535893805"/>
    <x v="0"/>
    <n v="2"/>
    <n v="0"/>
    <n v="30509"/>
    <n v="0.25159429806722"/>
    <s v="Low DTI"/>
    <x v="0"/>
    <n v="1"/>
    <x v="4"/>
    <s v="New York"/>
    <s v="Late"/>
    <s v="Missed"/>
    <s v="Late"/>
    <x v="0"/>
    <s v="On-time"/>
    <s v="Missed"/>
  </r>
  <r>
    <s v="CUST0121"/>
    <n v="68"/>
    <n v="190333"/>
    <n v="526"/>
    <x v="0"/>
    <n v="0.60970597170695395"/>
    <x v="0"/>
    <n v="2"/>
    <n v="0"/>
    <n v="45776"/>
    <n v="0.1"/>
    <s v="Low DTI"/>
    <x v="0"/>
    <n v="3"/>
    <x v="1"/>
    <s v="Houston"/>
    <s v="Missed"/>
    <s v="On-time"/>
    <s v="Missed"/>
    <x v="2"/>
    <s v="On-time"/>
    <s v="Missed"/>
  </r>
  <r>
    <s v="CUST0122"/>
    <n v="34"/>
    <n v="125226"/>
    <n v="354"/>
    <x v="0"/>
    <n v="0.31551346279770398"/>
    <x v="0"/>
    <n v="3"/>
    <n v="0"/>
    <n v="35598"/>
    <n v="0.35790077001492598"/>
    <s v="Moderate DTI"/>
    <x v="0"/>
    <n v="5"/>
    <x v="0"/>
    <s v="New York"/>
    <s v="Late"/>
    <s v="On-time"/>
    <s v="On-time"/>
    <x v="0"/>
    <s v="Missed"/>
    <s v="On-time"/>
  </r>
  <r>
    <s v="CUST0123"/>
    <n v="25"/>
    <n v="80953"/>
    <n v="623"/>
    <x v="1"/>
    <n v="0.80423442755294805"/>
    <x v="2"/>
    <n v="1"/>
    <n v="1"/>
    <n v="71588"/>
    <n v="0.43899640686042002"/>
    <s v="Moderate DTI"/>
    <x v="0"/>
    <n v="17"/>
    <x v="3"/>
    <s v="Chicago"/>
    <s v="On-time"/>
    <s v="On-time"/>
    <s v="Missed"/>
    <x v="1"/>
    <s v="On-time"/>
    <s v="Missed"/>
  </r>
  <r>
    <s v="CUST0124"/>
    <n v="52"/>
    <n v="129692"/>
    <n v="522"/>
    <x v="0"/>
    <n v="0.76965601318527899"/>
    <x v="2"/>
    <n v="0"/>
    <n v="0"/>
    <n v="36955"/>
    <n v="0.26962402184802198"/>
    <s v="Low DTI"/>
    <x v="1"/>
    <n v="5"/>
    <x v="4"/>
    <s v="Houston"/>
    <s v="Late"/>
    <s v="On-time"/>
    <s v="On-time"/>
    <x v="0"/>
    <s v="On-time"/>
    <s v="Late"/>
  </r>
  <r>
    <s v="CUST0125"/>
    <n v="52"/>
    <n v="199402"/>
    <n v="427"/>
    <x v="0"/>
    <n v="0.35339878734467101"/>
    <x v="0"/>
    <n v="0"/>
    <n v="1"/>
    <n v="45776"/>
    <n v="0.22949625198603299"/>
    <s v="Low DTI"/>
    <x v="0"/>
    <n v="16"/>
    <x v="2"/>
    <s v="Chicago"/>
    <s v="On-time"/>
    <s v="On-time"/>
    <s v="Late"/>
    <x v="2"/>
    <s v="Missed"/>
    <s v="Missed"/>
  </r>
  <r>
    <s v="CUST0126"/>
    <n v="50"/>
    <n v="90880"/>
    <n v="800"/>
    <x v="2"/>
    <n v="0.351341999407006"/>
    <x v="0"/>
    <n v="4"/>
    <n v="1"/>
    <n v="89537"/>
    <n v="0.25627405946222998"/>
    <s v="Low DTI"/>
    <x v="0"/>
    <n v="13"/>
    <x v="3"/>
    <s v="Los Angeles"/>
    <s v="On-time"/>
    <s v="On-time"/>
    <s v="Missed"/>
    <x v="0"/>
    <s v="On-time"/>
    <s v="Late"/>
  </r>
  <r>
    <s v="CUST0127"/>
    <n v="22"/>
    <n v="118081"/>
    <n v="623"/>
    <x v="1"/>
    <n v="0.38143441252410198"/>
    <x v="0"/>
    <n v="4"/>
    <n v="0"/>
    <n v="16034"/>
    <n v="0.38502053671312297"/>
    <s v="Moderate DTI"/>
    <x v="0"/>
    <n v="10"/>
    <x v="0"/>
    <s v="Los Angeles"/>
    <s v="Late"/>
    <s v="On-time"/>
    <s v="Late"/>
    <x v="1"/>
    <s v="Late"/>
    <s v="On-time"/>
  </r>
  <r>
    <s v="CUST0128"/>
    <n v="59"/>
    <n v="115497"/>
    <n v="693"/>
    <x v="1"/>
    <n v="0.39853344492228998"/>
    <x v="0"/>
    <n v="0"/>
    <n v="0"/>
    <n v="89537"/>
    <n v="0.25455390587150101"/>
    <s v="Low DTI"/>
    <x v="2"/>
    <n v="18"/>
    <x v="1"/>
    <s v="Phoenix"/>
    <s v="On-time"/>
    <s v="Late"/>
    <s v="Late"/>
    <x v="1"/>
    <s v="Missed"/>
    <s v="Late"/>
  </r>
  <r>
    <s v="CUST0129"/>
    <n v="56"/>
    <n v="199402"/>
    <n v="777"/>
    <x v="2"/>
    <n v="0.69010760158568796"/>
    <x v="0"/>
    <n v="2"/>
    <n v="1"/>
    <n v="96507"/>
    <n v="0.33287603003428401"/>
    <s v="Moderate DTI"/>
    <x v="3"/>
    <n v="1"/>
    <x v="3"/>
    <s v="Los Angeles"/>
    <s v="Late"/>
    <s v="Missed"/>
    <s v="On-time"/>
    <x v="1"/>
    <s v="Missed"/>
    <s v="Missed"/>
  </r>
  <r>
    <s v="CUST0130"/>
    <n v="58"/>
    <n v="166836"/>
    <n v="781"/>
    <x v="2"/>
    <n v="0.58506581209531805"/>
    <x v="0"/>
    <n v="5"/>
    <n v="0"/>
    <n v="76445"/>
    <n v="0.302780291573994"/>
    <s v="Moderate DTI"/>
    <x v="1"/>
    <n v="2"/>
    <x v="3"/>
    <s v="Chicago"/>
    <s v="On-time"/>
    <s v="On-time"/>
    <s v="Missed"/>
    <x v="1"/>
    <s v="Late"/>
    <s v="Missed"/>
  </r>
  <r>
    <s v="CUST0131"/>
    <n v="45"/>
    <n v="187627"/>
    <n v="766"/>
    <x v="2"/>
    <n v="0.67541575387011699"/>
    <x v="0"/>
    <n v="2"/>
    <n v="0"/>
    <n v="20052"/>
    <n v="0.29246203875772298"/>
    <s v="Low DTI"/>
    <x v="0"/>
    <n v="10"/>
    <x v="4"/>
    <s v="Los Angeles"/>
    <s v="On-time"/>
    <s v="On-time"/>
    <s v="On-time"/>
    <x v="2"/>
    <s v="Missed"/>
    <s v="Late"/>
  </r>
  <r>
    <s v="CUST0132"/>
    <n v="24"/>
    <n v="73141"/>
    <n v="717"/>
    <x v="1"/>
    <n v="0.63471302863734003"/>
    <x v="0"/>
    <n v="4"/>
    <n v="0"/>
    <n v="36913"/>
    <n v="0.37012923267522302"/>
    <s v="Moderate DTI"/>
    <x v="0"/>
    <n v="5"/>
    <x v="2"/>
    <s v="Houston"/>
    <s v="Late"/>
    <s v="Late"/>
    <s v="Missed"/>
    <x v="0"/>
    <s v="Missed"/>
    <s v="On-time"/>
  </r>
  <r>
    <s v="CUST0133"/>
    <n v="26"/>
    <n v="180983"/>
    <n v="427"/>
    <x v="0"/>
    <n v="0.84290541363874605"/>
    <x v="2"/>
    <n v="3"/>
    <n v="0"/>
    <n v="77209"/>
    <n v="0.25214201001358"/>
    <s v="Low DTI"/>
    <x v="3"/>
    <n v="13"/>
    <x v="2"/>
    <s v="Los Angeles"/>
    <s v="Missed"/>
    <s v="Late"/>
    <s v="Missed"/>
    <x v="0"/>
    <s v="Missed"/>
    <s v="Late"/>
  </r>
  <r>
    <s v="CUST0134"/>
    <n v="25"/>
    <n v="168772"/>
    <n v="388"/>
    <x v="0"/>
    <n v="0.28812289123817098"/>
    <x v="1"/>
    <n v="0"/>
    <n v="1"/>
    <n v="94363"/>
    <n v="0.25694134398177199"/>
    <s v="Low DTI"/>
    <x v="1"/>
    <n v="18"/>
    <x v="1"/>
    <s v="Phoenix"/>
    <s v="Missed"/>
    <s v="On-time"/>
    <s v="On-time"/>
    <x v="1"/>
    <s v="Missed"/>
    <s v="Missed"/>
  </r>
  <r>
    <s v="CUST0135"/>
    <n v="29"/>
    <n v="16252"/>
    <n v="441"/>
    <x v="0"/>
    <n v="0.57607170607678304"/>
    <x v="0"/>
    <n v="4"/>
    <n v="0"/>
    <n v="96056"/>
    <n v="0.379760284999975"/>
    <s v="Moderate DTI"/>
    <x v="0"/>
    <n v="15"/>
    <x v="0"/>
    <s v="Los Angeles"/>
    <s v="Late"/>
    <s v="On-time"/>
    <s v="Late"/>
    <x v="2"/>
    <s v="Missed"/>
    <s v="Late"/>
  </r>
  <r>
    <s v="CUST0136"/>
    <n v="51"/>
    <n v="118333"/>
    <n v="346"/>
    <x v="0"/>
    <n v="6.5235748753060402E-2"/>
    <x v="1"/>
    <n v="4"/>
    <n v="0"/>
    <n v="20081"/>
    <n v="0.201307467583134"/>
    <s v="Low DTI"/>
    <x v="0"/>
    <n v="6"/>
    <x v="1"/>
    <s v="Chicago"/>
    <s v="On-time"/>
    <s v="On-time"/>
    <s v="Missed"/>
    <x v="1"/>
    <s v="Missed"/>
    <s v="Late"/>
  </r>
  <r>
    <s v="CUST0137"/>
    <n v="50"/>
    <n v="192247"/>
    <n v="387"/>
    <x v="0"/>
    <n v="0.236608885180628"/>
    <x v="1"/>
    <n v="5"/>
    <n v="0"/>
    <n v="28730"/>
    <n v="0.21197798091776701"/>
    <s v="Low DTI"/>
    <x v="2"/>
    <n v="7"/>
    <x v="3"/>
    <s v="Chicago"/>
    <s v="Missed"/>
    <s v="Missed"/>
    <s v="On-time"/>
    <x v="1"/>
    <s v="On-time"/>
    <s v="On-time"/>
  </r>
  <r>
    <s v="CUST0138"/>
    <n v="65"/>
    <n v="199294"/>
    <n v="505"/>
    <x v="0"/>
    <n v="0.48502932281303002"/>
    <x v="0"/>
    <n v="0"/>
    <n v="0"/>
    <n v="85107"/>
    <n v="0.17396857086563999"/>
    <s v="Low DTI"/>
    <x v="0"/>
    <n v="18"/>
    <x v="3"/>
    <s v="Los Angeles"/>
    <s v="Late"/>
    <s v="Late"/>
    <s v="Missed"/>
    <x v="1"/>
    <s v="On-time"/>
    <s v="On-time"/>
  </r>
  <r>
    <s v="CUST0139"/>
    <n v="72"/>
    <n v="138961"/>
    <n v="402"/>
    <x v="0"/>
    <n v="0.58364132255090695"/>
    <x v="0"/>
    <n v="5"/>
    <n v="1"/>
    <n v="42556"/>
    <n v="0.38490109132765499"/>
    <s v="Moderate DTI"/>
    <x v="2"/>
    <n v="19"/>
    <x v="2"/>
    <s v="Chicago"/>
    <s v="Missed"/>
    <s v="On-time"/>
    <s v="On-time"/>
    <x v="0"/>
    <s v="Late"/>
    <s v="On-time"/>
  </r>
  <r>
    <s v="CUST0140"/>
    <n v="40"/>
    <n v="129548"/>
    <n v="794"/>
    <x v="2"/>
    <n v="0.47963685159408598"/>
    <x v="0"/>
    <n v="0"/>
    <n v="0"/>
    <n v="16693"/>
    <n v="0.28947630319187301"/>
    <s v="Low DTI"/>
    <x v="0"/>
    <n v="15"/>
    <x v="0"/>
    <s v="Chicago"/>
    <s v="On-time"/>
    <s v="On-time"/>
    <s v="On-time"/>
    <x v="0"/>
    <s v="Late"/>
    <s v="On-time"/>
  </r>
  <r>
    <s v="CUST0141"/>
    <n v="41"/>
    <n v="58088"/>
    <n v="567"/>
    <x v="0"/>
    <n v="0.38656151623746399"/>
    <x v="0"/>
    <n v="5"/>
    <n v="0"/>
    <n v="10951"/>
    <n v="0.168638485392093"/>
    <s v="Low DTI"/>
    <x v="1"/>
    <n v="6"/>
    <x v="4"/>
    <s v="Phoenix"/>
    <s v="On-time"/>
    <s v="Late"/>
    <s v="Missed"/>
    <x v="2"/>
    <s v="Missed"/>
    <s v="On-time"/>
  </r>
  <r>
    <s v="CUST0142"/>
    <n v="54"/>
    <n v="30485"/>
    <n v="617"/>
    <x v="1"/>
    <n v="0.42211642450139197"/>
    <x v="0"/>
    <n v="2"/>
    <n v="0"/>
    <n v="76861"/>
    <n v="0.38538085623090601"/>
    <s v="Moderate DTI"/>
    <x v="0"/>
    <n v="8"/>
    <x v="0"/>
    <s v="Houston"/>
    <s v="Late"/>
    <s v="On-time"/>
    <s v="Missed"/>
    <x v="0"/>
    <s v="Missed"/>
    <s v="Late"/>
  </r>
  <r>
    <s v="CUST0143"/>
    <n v="52"/>
    <n v="178165"/>
    <n v="823"/>
    <x v="2"/>
    <n v="0.77388819528482"/>
    <x v="2"/>
    <n v="3"/>
    <n v="0"/>
    <n v="19977"/>
    <n v="0.24444578384245599"/>
    <s v="Low DTI"/>
    <x v="2"/>
    <n v="12"/>
    <x v="3"/>
    <s v="Phoenix"/>
    <s v="On-time"/>
    <s v="Late"/>
    <s v="On-time"/>
    <x v="1"/>
    <s v="On-time"/>
    <s v="Late"/>
  </r>
  <r>
    <s v="CUST0144"/>
    <n v="61"/>
    <n v="77292"/>
    <n v="414"/>
    <x v="0"/>
    <n v="0.42319356442397099"/>
    <x v="0"/>
    <n v="3"/>
    <n v="1"/>
    <n v="60348"/>
    <n v="0.21283219211631099"/>
    <s v="Low DTI"/>
    <x v="2"/>
    <n v="0"/>
    <x v="4"/>
    <s v="New York"/>
    <s v="On-time"/>
    <s v="Late"/>
    <s v="Missed"/>
    <x v="2"/>
    <s v="On-time"/>
    <s v="On-time"/>
  </r>
  <r>
    <s v="CUST0145"/>
    <n v="57"/>
    <n v="107658"/>
    <n v="694"/>
    <x v="1"/>
    <n v="0.84984832440870495"/>
    <x v="2"/>
    <n v="0"/>
    <n v="0"/>
    <n v="3494"/>
    <n v="0.28043214411230399"/>
    <s v="Low DTI"/>
    <x v="2"/>
    <n v="7"/>
    <x v="0"/>
    <s v="Phoenix"/>
    <s v="On-time"/>
    <s v="Missed"/>
    <s v="On-time"/>
    <x v="1"/>
    <s v="Late"/>
    <s v="On-time"/>
  </r>
  <r>
    <s v="CUST0146"/>
    <n v="39"/>
    <n v="41790"/>
    <n v="681"/>
    <x v="1"/>
    <n v="0.65880341470822601"/>
    <x v="0"/>
    <n v="1"/>
    <n v="0"/>
    <n v="17913"/>
    <n v="0.44787236094678901"/>
    <s v="Moderate DTI"/>
    <x v="3"/>
    <n v="3"/>
    <x v="0"/>
    <s v="Los Angeles"/>
    <s v="Missed"/>
    <s v="Late"/>
    <s v="On-time"/>
    <x v="0"/>
    <s v="Late"/>
    <s v="Missed"/>
  </r>
  <r>
    <s v="CUST0147"/>
    <n v="44"/>
    <n v="31364"/>
    <n v="757"/>
    <x v="2"/>
    <n v="0.59150746922964603"/>
    <x v="0"/>
    <n v="6"/>
    <n v="0"/>
    <n v="10942"/>
    <n v="0.260503780350342"/>
    <s v="Low DTI"/>
    <x v="0"/>
    <n v="2"/>
    <x v="4"/>
    <s v="Houston"/>
    <s v="Late"/>
    <s v="On-time"/>
    <s v="Late"/>
    <x v="1"/>
    <s v="Late"/>
    <s v="On-time"/>
  </r>
  <r>
    <s v="CUST0148"/>
    <n v="52"/>
    <n v="129692"/>
    <n v="826"/>
    <x v="2"/>
    <n v="0.26128061793579999"/>
    <x v="1"/>
    <n v="4"/>
    <n v="1"/>
    <n v="5539"/>
    <n v="0.35753388641155798"/>
    <s v="Moderate DTI"/>
    <x v="1"/>
    <n v="2"/>
    <x v="3"/>
    <s v="Los Angeles"/>
    <s v="Missed"/>
    <s v="Late"/>
    <s v="Missed"/>
    <x v="0"/>
    <s v="Late"/>
    <s v="Late"/>
  </r>
  <r>
    <s v="CUST0149"/>
    <n v="18"/>
    <n v="15404"/>
    <n v="588"/>
    <x v="0"/>
    <n v="0.68704763227992505"/>
    <x v="0"/>
    <n v="4"/>
    <n v="0"/>
    <n v="91432"/>
    <n v="0.37270800204509502"/>
    <s v="Moderate DTI"/>
    <x v="0"/>
    <n v="12"/>
    <x v="0"/>
    <s v="New York"/>
    <s v="On-time"/>
    <s v="On-time"/>
    <s v="On-time"/>
    <x v="0"/>
    <s v="On-time"/>
    <s v="On-time"/>
  </r>
  <r>
    <s v="CUST0150"/>
    <n v="52"/>
    <n v="32955"/>
    <n v="302"/>
    <x v="0"/>
    <n v="0.40124588445030002"/>
    <x v="0"/>
    <n v="0"/>
    <n v="0"/>
    <n v="19796"/>
    <n v="0.34432732980064001"/>
    <s v="Moderate DTI"/>
    <x v="0"/>
    <n v="7"/>
    <x v="4"/>
    <s v="Houston"/>
    <s v="Late"/>
    <s v="On-time"/>
    <s v="On-time"/>
    <x v="0"/>
    <s v="On-time"/>
    <s v="Late"/>
  </r>
  <r>
    <s v="CUST0151"/>
    <n v="54"/>
    <n v="53513"/>
    <n v="328"/>
    <x v="0"/>
    <n v="0.26111204839885999"/>
    <x v="1"/>
    <n v="5"/>
    <n v="0"/>
    <n v="95276"/>
    <n v="0.42710716496742601"/>
    <s v="Moderate DTI"/>
    <x v="0"/>
    <n v="6"/>
    <x v="3"/>
    <s v="Chicago"/>
    <s v="On-time"/>
    <s v="Late"/>
    <s v="Late"/>
    <x v="1"/>
    <s v="Late"/>
    <s v="Missed"/>
  </r>
  <r>
    <s v="CUST0152"/>
    <n v="64"/>
    <n v="189197"/>
    <n v="524"/>
    <x v="0"/>
    <n v="0.60256872261587502"/>
    <x v="0"/>
    <n v="1"/>
    <n v="1"/>
    <n v="6118"/>
    <n v="0.22928839953677199"/>
    <s v="Low DTI"/>
    <x v="2"/>
    <n v="0"/>
    <x v="4"/>
    <s v="Phoenix"/>
    <s v="On-time"/>
    <s v="Missed"/>
    <s v="On-time"/>
    <x v="0"/>
    <s v="On-time"/>
    <s v="Late"/>
  </r>
  <r>
    <s v="CUST0153"/>
    <n v="31"/>
    <n v="97986"/>
    <n v="326"/>
    <x v="0"/>
    <n v="0.222410787886692"/>
    <x v="1"/>
    <n v="2"/>
    <n v="0"/>
    <n v="34897"/>
    <n v="0.19566651569496599"/>
    <s v="Low DTI"/>
    <x v="2"/>
    <n v="15"/>
    <x v="4"/>
    <s v="Los Angeles"/>
    <s v="On-time"/>
    <s v="Late"/>
    <s v="Missed"/>
    <x v="2"/>
    <s v="Missed"/>
    <s v="Missed"/>
  </r>
  <r>
    <s v="CUST0154"/>
    <n v="20"/>
    <n v="107658"/>
    <n v="718"/>
    <x v="1"/>
    <n v="0.34755170757408299"/>
    <x v="0"/>
    <n v="5"/>
    <n v="0"/>
    <n v="39006"/>
    <n v="0.19370333439750001"/>
    <s v="Low DTI"/>
    <x v="2"/>
    <n v="5"/>
    <x v="0"/>
    <s v="New York"/>
    <s v="On-time"/>
    <s v="Missed"/>
    <s v="Missed"/>
    <x v="0"/>
    <s v="Late"/>
    <s v="Missed"/>
  </r>
  <r>
    <s v="CUST0155"/>
    <n v="18"/>
    <n v="116570"/>
    <n v="823"/>
    <x v="2"/>
    <n v="0.49797681770621699"/>
    <x v="0"/>
    <n v="5"/>
    <n v="0"/>
    <n v="36342"/>
    <n v="0.28555315847002"/>
    <s v="Low DTI"/>
    <x v="0"/>
    <n v="6"/>
    <x v="3"/>
    <s v="Chicago"/>
    <s v="Missed"/>
    <s v="Missed"/>
    <s v="Missed"/>
    <x v="0"/>
    <s v="Late"/>
    <s v="Late"/>
  </r>
  <r>
    <s v="CUST0156"/>
    <n v="22"/>
    <n v="119185"/>
    <n v="711"/>
    <x v="1"/>
    <n v="0.94368428482294497"/>
    <x v="2"/>
    <n v="0"/>
    <n v="0"/>
    <n v="44454"/>
    <n v="0.20529533421594701"/>
    <s v="Low DTI"/>
    <x v="0"/>
    <n v="11"/>
    <x v="0"/>
    <s v="Phoenix"/>
    <s v="Late"/>
    <s v="Missed"/>
    <s v="On-time"/>
    <x v="0"/>
    <s v="Missed"/>
    <s v="Missed"/>
  </r>
  <r>
    <s v="CUST0157"/>
    <n v="43"/>
    <n v="136465"/>
    <n v="823"/>
    <x v="2"/>
    <n v="0.36261684884150203"/>
    <x v="0"/>
    <n v="0"/>
    <n v="0"/>
    <n v="92381"/>
    <n v="0.31475409118653203"/>
    <s v="Moderate DTI"/>
    <x v="0"/>
    <n v="8"/>
    <x v="1"/>
    <s v="Chicago"/>
    <s v="On-time"/>
    <s v="Late"/>
    <s v="Late"/>
    <x v="0"/>
    <s v="Late"/>
    <s v="Missed"/>
  </r>
  <r>
    <s v="CUST0158"/>
    <n v="72"/>
    <n v="21801"/>
    <n v="805"/>
    <x v="2"/>
    <n v="0.40835669613988401"/>
    <x v="0"/>
    <n v="4"/>
    <n v="1"/>
    <n v="95267"/>
    <n v="0.30769884197248898"/>
    <s v="Moderate DTI"/>
    <x v="3"/>
    <n v="10"/>
    <x v="1"/>
    <s v="Phoenix"/>
    <s v="On-time"/>
    <s v="On-time"/>
    <s v="Late"/>
    <x v="0"/>
    <s v="Missed"/>
    <s v="Missed"/>
  </r>
  <r>
    <s v="CUST0159"/>
    <n v="31"/>
    <n v="15404"/>
    <n v="316"/>
    <x v="0"/>
    <n v="0.64646901088432895"/>
    <x v="0"/>
    <n v="0"/>
    <n v="0"/>
    <n v="71791"/>
    <n v="0.40185733031860399"/>
    <s v="Moderate DTI"/>
    <x v="1"/>
    <n v="9"/>
    <x v="3"/>
    <s v="Houston"/>
    <s v="Late"/>
    <s v="On-time"/>
    <s v="On-time"/>
    <x v="2"/>
    <s v="Missed"/>
    <s v="On-time"/>
  </r>
  <r>
    <s v="CUST0160"/>
    <n v="56"/>
    <n v="54081"/>
    <n v="566"/>
    <x v="0"/>
    <n v="0.25234086232479003"/>
    <x v="1"/>
    <n v="0"/>
    <n v="0"/>
    <n v="43927"/>
    <n v="0.32911443082360398"/>
    <s v="Moderate DTI"/>
    <x v="0"/>
    <n v="0"/>
    <x v="4"/>
    <s v="Chicago"/>
    <s v="On-time"/>
    <s v="Late"/>
    <s v="Missed"/>
    <x v="2"/>
    <s v="Late"/>
    <s v="On-time"/>
  </r>
  <r>
    <s v="CUST0161"/>
    <n v="44"/>
    <n v="74494"/>
    <n v="319"/>
    <x v="0"/>
    <n v="0.58856127620418297"/>
    <x v="0"/>
    <n v="0"/>
    <n v="0"/>
    <n v="48397"/>
    <n v="0.25838481441385502"/>
    <s v="Low DTI"/>
    <x v="0"/>
    <n v="17"/>
    <x v="0"/>
    <s v="Chicago"/>
    <s v="On-time"/>
    <s v="Late"/>
    <s v="Missed"/>
    <x v="2"/>
    <s v="On-time"/>
    <s v="Late"/>
  </r>
  <r>
    <s v="CUST0162"/>
    <n v="26"/>
    <n v="89740"/>
    <n v="385"/>
    <x v="0"/>
    <n v="0.74118536152331704"/>
    <x v="2"/>
    <n v="4"/>
    <n v="0"/>
    <n v="96485"/>
    <n v="0.34108492044326799"/>
    <s v="Moderate DTI"/>
    <x v="3"/>
    <n v="3"/>
    <x v="0"/>
    <s v="Chicago"/>
    <s v="Late"/>
    <s v="Missed"/>
    <s v="Missed"/>
    <x v="0"/>
    <s v="On-time"/>
    <s v="Late"/>
  </r>
  <r>
    <s v="CUST0163"/>
    <n v="32"/>
    <n v="116570"/>
    <n v="402"/>
    <x v="0"/>
    <n v="0.43858102305777902"/>
    <x v="0"/>
    <n v="2"/>
    <n v="0"/>
    <n v="26000"/>
    <n v="0.19698059801020501"/>
    <s v="Low DTI"/>
    <x v="3"/>
    <n v="4"/>
    <x v="3"/>
    <s v="Houston"/>
    <s v="Missed"/>
    <s v="Missed"/>
    <s v="On-time"/>
    <x v="0"/>
    <s v="Late"/>
    <s v="Late"/>
  </r>
  <r>
    <s v="CUST0164"/>
    <n v="32"/>
    <n v="117795"/>
    <n v="670"/>
    <x v="1"/>
    <n v="0.70523085627937299"/>
    <x v="2"/>
    <n v="2"/>
    <n v="1"/>
    <n v="14417"/>
    <n v="0.29618593119756798"/>
    <s v="Low DTI"/>
    <x v="3"/>
    <n v="8"/>
    <x v="3"/>
    <s v="New York"/>
    <s v="Missed"/>
    <s v="Missed"/>
    <s v="On-time"/>
    <x v="1"/>
    <s v="On-time"/>
    <s v="On-time"/>
  </r>
  <r>
    <s v="CUST0165"/>
    <n v="43"/>
    <n v="97844"/>
    <n v="391"/>
    <x v="0"/>
    <n v="0.55828998464236101"/>
    <x v="0"/>
    <n v="6"/>
    <n v="0"/>
    <n v="45776"/>
    <n v="0.33194012335955803"/>
    <s v="Moderate DTI"/>
    <x v="2"/>
    <n v="16"/>
    <x v="1"/>
    <s v="Phoenix"/>
    <s v="Missed"/>
    <s v="Late"/>
    <s v="Late"/>
    <x v="1"/>
    <s v="Missed"/>
    <s v="Late"/>
  </r>
  <r>
    <s v="CUST0166"/>
    <n v="59"/>
    <n v="100999"/>
    <n v="457"/>
    <x v="0"/>
    <n v="0.35386360723924298"/>
    <x v="0"/>
    <n v="6"/>
    <n v="0"/>
    <n v="50989"/>
    <n v="0.31293175981501198"/>
    <s v="Moderate DTI"/>
    <x v="1"/>
    <n v="2"/>
    <x v="2"/>
    <s v="Chicago"/>
    <s v="Missed"/>
    <s v="Missed"/>
    <s v="Late"/>
    <x v="2"/>
    <s v="Late"/>
    <s v="Missed"/>
  </r>
  <r>
    <s v="CUST0167"/>
    <n v="30"/>
    <n v="21970"/>
    <n v="328"/>
    <x v="0"/>
    <n v="0.46043906282069802"/>
    <x v="0"/>
    <n v="0"/>
    <n v="0"/>
    <n v="85107"/>
    <n v="0.34150650949359801"/>
    <s v="Moderate DTI"/>
    <x v="0"/>
    <n v="15"/>
    <x v="3"/>
    <s v="Houston"/>
    <s v="On-time"/>
    <s v="On-time"/>
    <s v="Missed"/>
    <x v="1"/>
    <s v="Late"/>
    <s v="On-time"/>
  </r>
  <r>
    <s v="CUST0168"/>
    <n v="68"/>
    <n v="185883"/>
    <n v="604"/>
    <x v="1"/>
    <n v="0.42404853200395098"/>
    <x v="0"/>
    <n v="6"/>
    <n v="0"/>
    <n v="13761"/>
    <n v="0.23559539842871999"/>
    <s v="Low DTI"/>
    <x v="0"/>
    <n v="4"/>
    <x v="2"/>
    <s v="New York"/>
    <s v="On-time"/>
    <s v="Late"/>
    <s v="Missed"/>
    <x v="1"/>
    <s v="On-time"/>
    <s v="Late"/>
  </r>
  <r>
    <s v="CUST0169"/>
    <n v="49"/>
    <n v="53513"/>
    <n v="339"/>
    <x v="0"/>
    <n v="0.482472348436704"/>
    <x v="0"/>
    <n v="4"/>
    <n v="0"/>
    <n v="26549"/>
    <n v="0.41520314028095101"/>
    <s v="Moderate DTI"/>
    <x v="3"/>
    <n v="15"/>
    <x v="3"/>
    <s v="Phoenix"/>
    <s v="On-time"/>
    <s v="Late"/>
    <s v="Missed"/>
    <x v="2"/>
    <s v="Missed"/>
    <s v="Late"/>
  </r>
  <r>
    <s v="CUST0170"/>
    <n v="56"/>
    <n v="150230"/>
    <n v="766"/>
    <x v="2"/>
    <n v="0.53054357984396505"/>
    <x v="0"/>
    <n v="2"/>
    <n v="0"/>
    <n v="5539"/>
    <n v="0.48221689493956998"/>
    <s v="Moderate DTI"/>
    <x v="0"/>
    <n v="2"/>
    <x v="4"/>
    <s v="Houston"/>
    <s v="On-time"/>
    <s v="Missed"/>
    <s v="On-time"/>
    <x v="2"/>
    <s v="Late"/>
    <s v="On-time"/>
  </r>
  <r>
    <s v="CUST0171"/>
    <n v="66"/>
    <n v="38959"/>
    <n v="310"/>
    <x v="0"/>
    <n v="0.61763998699437095"/>
    <x v="0"/>
    <n v="5"/>
    <n v="1"/>
    <n v="67460"/>
    <n v="0.13973238551414"/>
    <s v="Low DTI"/>
    <x v="1"/>
    <n v="19"/>
    <x v="4"/>
    <s v="Phoenix"/>
    <s v="Missed"/>
    <s v="Late"/>
    <s v="Late"/>
    <x v="1"/>
    <s v="Late"/>
    <s v="On-time"/>
  </r>
  <r>
    <s v="CUST0172"/>
    <n v="69"/>
    <n v="172504"/>
    <n v="677"/>
    <x v="1"/>
    <n v="0.60173364991742695"/>
    <x v="0"/>
    <n v="2"/>
    <n v="0"/>
    <n v="98999"/>
    <n v="0.17844020040457501"/>
    <s v="Low DTI"/>
    <x v="1"/>
    <n v="14"/>
    <x v="1"/>
    <s v="Chicago"/>
    <s v="Missed"/>
    <s v="On-time"/>
    <s v="On-time"/>
    <x v="1"/>
    <s v="On-time"/>
    <s v="Late"/>
  </r>
  <r>
    <s v="CUST0173"/>
    <n v="49"/>
    <n v="101188"/>
    <n v="818"/>
    <x v="2"/>
    <n v="0.05"/>
    <x v="1"/>
    <n v="2"/>
    <n v="0"/>
    <n v="74403"/>
    <n v="0.30430830080243798"/>
    <s v="Moderate DTI"/>
    <x v="0"/>
    <n v="2"/>
    <x v="1"/>
    <s v="New York"/>
    <s v="On-time"/>
    <s v="On-time"/>
    <s v="Missed"/>
    <x v="2"/>
    <s v="On-time"/>
    <s v="Late"/>
  </r>
  <r>
    <s v="CUST0174"/>
    <n v="21"/>
    <n v="47217"/>
    <n v="383"/>
    <x v="0"/>
    <n v="0.48053836224559399"/>
    <x v="0"/>
    <n v="4"/>
    <n v="1"/>
    <n v="31316"/>
    <n v="0.27434490194471201"/>
    <s v="Low DTI"/>
    <x v="0"/>
    <n v="19"/>
    <x v="2"/>
    <s v="Houston"/>
    <s v="On-time"/>
    <s v="Late"/>
    <s v="On-time"/>
    <x v="1"/>
    <s v="Missed"/>
    <s v="Missed"/>
  </r>
  <r>
    <s v="CUST0175"/>
    <n v="47"/>
    <n v="72458"/>
    <n v="407"/>
    <x v="0"/>
    <n v="0.19811561731864699"/>
    <x v="1"/>
    <n v="6"/>
    <n v="0"/>
    <n v="37445"/>
    <n v="0.48964124057727798"/>
    <s v="Moderate DTI"/>
    <x v="0"/>
    <n v="13"/>
    <x v="3"/>
    <s v="New York"/>
    <s v="Late"/>
    <s v="Missed"/>
    <s v="Missed"/>
    <x v="0"/>
    <s v="Late"/>
    <s v="Late"/>
  </r>
  <r>
    <s v="CUST0176"/>
    <n v="54"/>
    <n v="76476"/>
    <n v="788"/>
    <x v="2"/>
    <n v="0.44485454950653402"/>
    <x v="0"/>
    <n v="5"/>
    <n v="0"/>
    <n v="69963"/>
    <n v="0.321978432342446"/>
    <s v="Moderate DTI"/>
    <x v="1"/>
    <n v="15"/>
    <x v="0"/>
    <s v="Chicago"/>
    <s v="On-time"/>
    <s v="Missed"/>
    <s v="Late"/>
    <x v="1"/>
    <s v="Missed"/>
    <s v="Late"/>
  </r>
  <r>
    <s v="CUST0177"/>
    <n v="40"/>
    <n v="159356"/>
    <n v="339"/>
    <x v="0"/>
    <n v="0.47524208243781602"/>
    <x v="0"/>
    <n v="4"/>
    <n v="0"/>
    <n v="68636"/>
    <n v="0.43925452537259502"/>
    <s v="Moderate DTI"/>
    <x v="1"/>
    <n v="16"/>
    <x v="1"/>
    <s v="New York"/>
    <s v="Late"/>
    <s v="On-time"/>
    <s v="Missed"/>
    <x v="2"/>
    <s v="Missed"/>
    <s v="Late"/>
  </r>
  <r>
    <s v="CUST0178"/>
    <n v="56"/>
    <n v="165580"/>
    <n v="447"/>
    <x v="0"/>
    <n v="0.69522967161694105"/>
    <x v="0"/>
    <n v="0"/>
    <n v="0"/>
    <n v="45776"/>
    <n v="0.1"/>
    <s v="Low DTI"/>
    <x v="1"/>
    <n v="19"/>
    <x v="0"/>
    <s v="New York"/>
    <s v="Late"/>
    <s v="Late"/>
    <s v="Late"/>
    <x v="0"/>
    <s v="On-time"/>
    <s v="On-time"/>
  </r>
  <r>
    <s v="CUST0179"/>
    <n v="62"/>
    <n v="108610"/>
    <n v="446"/>
    <x v="0"/>
    <n v="0.49397690657998"/>
    <x v="0"/>
    <n v="3"/>
    <n v="0"/>
    <n v="11061"/>
    <n v="0.38141694833323497"/>
    <s v="Moderate DTI"/>
    <x v="0"/>
    <n v="17"/>
    <x v="0"/>
    <s v="Los Angeles"/>
    <s v="Late"/>
    <s v="Late"/>
    <s v="Missed"/>
    <x v="0"/>
    <s v="On-time"/>
    <s v="Missed"/>
  </r>
  <r>
    <s v="CUST0180"/>
    <n v="32"/>
    <n v="182280"/>
    <n v="467"/>
    <x v="0"/>
    <n v="0.55184360366865204"/>
    <x v="0"/>
    <n v="2"/>
    <n v="0"/>
    <n v="74433"/>
    <n v="0.22844831807416699"/>
    <s v="Low DTI"/>
    <x v="3"/>
    <n v="17"/>
    <x v="3"/>
    <s v="New York"/>
    <s v="Late"/>
    <s v="Late"/>
    <s v="On-time"/>
    <x v="0"/>
    <s v="Missed"/>
    <s v="Missed"/>
  </r>
  <r>
    <s v="CUST0181"/>
    <n v="60"/>
    <n v="127816"/>
    <n v="638"/>
    <x v="1"/>
    <n v="0.65861127613148496"/>
    <x v="0"/>
    <n v="3"/>
    <n v="0"/>
    <n v="50183"/>
    <n v="0.22684574303803401"/>
    <s v="Low DTI"/>
    <x v="3"/>
    <n v="13"/>
    <x v="2"/>
    <s v="Phoenix"/>
    <s v="On-time"/>
    <s v="Missed"/>
    <s v="Late"/>
    <x v="1"/>
    <s v="On-time"/>
    <s v="Late"/>
  </r>
  <r>
    <s v="CUST0182"/>
    <n v="46"/>
    <n v="149415"/>
    <n v="605"/>
    <x v="1"/>
    <n v="0.74555045196386005"/>
    <x v="2"/>
    <n v="4"/>
    <n v="0"/>
    <n v="30549"/>
    <n v="0.275164197358787"/>
    <s v="Low DTI"/>
    <x v="0"/>
    <n v="17"/>
    <x v="3"/>
    <s v="Houston"/>
    <s v="Late"/>
    <s v="Late"/>
    <s v="On-time"/>
    <x v="1"/>
    <s v="Missed"/>
    <s v="On-time"/>
  </r>
  <r>
    <s v="CUST0183"/>
    <n v="53"/>
    <n v="120616"/>
    <n v="469"/>
    <x v="0"/>
    <n v="0.47539721532861701"/>
    <x v="0"/>
    <n v="4"/>
    <n v="0"/>
    <n v="69666"/>
    <n v="0.15754163602689"/>
    <s v="Low DTI"/>
    <x v="3"/>
    <n v="14"/>
    <x v="1"/>
    <s v="Los Angeles"/>
    <s v="Late"/>
    <s v="Missed"/>
    <s v="Late"/>
    <x v="1"/>
    <s v="On-time"/>
    <s v="Missed"/>
  </r>
  <r>
    <s v="CUST0184"/>
    <n v="30"/>
    <n v="199943"/>
    <n v="429"/>
    <x v="0"/>
    <n v="0.51883588833608096"/>
    <x v="0"/>
    <n v="4"/>
    <n v="0"/>
    <n v="10951"/>
    <n v="0.34427855253218498"/>
    <s v="Moderate DTI"/>
    <x v="2"/>
    <n v="14"/>
    <x v="0"/>
    <s v="Houston"/>
    <s v="Late"/>
    <s v="Late"/>
    <s v="Late"/>
    <x v="1"/>
    <s v="Late"/>
    <s v="Missed"/>
  </r>
  <r>
    <s v="CUST0185"/>
    <n v="49"/>
    <n v="178551"/>
    <n v="811"/>
    <x v="2"/>
    <n v="0.50200466044845005"/>
    <x v="0"/>
    <n v="3"/>
    <n v="0"/>
    <n v="47721"/>
    <n v="0.319071496671679"/>
    <s v="Moderate DTI"/>
    <x v="0"/>
    <n v="5"/>
    <x v="3"/>
    <s v="Houston"/>
    <s v="On-time"/>
    <s v="Late"/>
    <s v="On-time"/>
    <x v="1"/>
    <s v="Late"/>
    <s v="Late"/>
  </r>
  <r>
    <s v="CUST0186"/>
    <n v="24"/>
    <n v="68932"/>
    <n v="792"/>
    <x v="2"/>
    <n v="0.39148020711378401"/>
    <x v="0"/>
    <n v="4"/>
    <n v="0"/>
    <n v="84521"/>
    <n v="0.32661922481872702"/>
    <s v="Moderate DTI"/>
    <x v="1"/>
    <n v="14"/>
    <x v="3"/>
    <s v="Chicago"/>
    <s v="On-time"/>
    <s v="On-time"/>
    <s v="Missed"/>
    <x v="0"/>
    <s v="Late"/>
    <s v="On-time"/>
  </r>
  <r>
    <s v="CUST0187"/>
    <n v="68"/>
    <n v="23702"/>
    <n v="401"/>
    <x v="0"/>
    <n v="0.34617695531152198"/>
    <x v="0"/>
    <n v="0"/>
    <n v="0"/>
    <n v="31198"/>
    <n v="0.38870310221329002"/>
    <s v="Moderate DTI"/>
    <x v="3"/>
    <n v="17"/>
    <x v="3"/>
    <s v="Chicago"/>
    <s v="Late"/>
    <s v="Late"/>
    <s v="Missed"/>
    <x v="2"/>
    <s v="On-time"/>
    <s v="On-time"/>
  </r>
  <r>
    <s v="CUST0188"/>
    <n v="39"/>
    <n v="107658"/>
    <n v="826"/>
    <x v="2"/>
    <n v="0.05"/>
    <x v="1"/>
    <n v="4"/>
    <n v="1"/>
    <n v="7796"/>
    <n v="0.45147820461941501"/>
    <s v="Moderate DTI"/>
    <x v="0"/>
    <n v="3"/>
    <x v="1"/>
    <s v="Los Angeles"/>
    <s v="Missed"/>
    <s v="On-time"/>
    <s v="Late"/>
    <x v="2"/>
    <s v="On-time"/>
    <s v="Late"/>
  </r>
  <r>
    <s v="CUST0189"/>
    <n v="45"/>
    <n v="67528"/>
    <n v="526"/>
    <x v="0"/>
    <n v="0.284667813095134"/>
    <x v="1"/>
    <n v="1"/>
    <n v="0"/>
    <n v="64950"/>
    <n v="0.26362889509124499"/>
    <s v="Low DTI"/>
    <x v="3"/>
    <n v="7"/>
    <x v="2"/>
    <s v="Chicago"/>
    <s v="On-time"/>
    <s v="On-time"/>
    <s v="On-time"/>
    <x v="0"/>
    <s v="Missed"/>
    <s v="Late"/>
  </r>
  <r>
    <s v="CUST0190"/>
    <n v="19"/>
    <n v="162851"/>
    <n v="523"/>
    <x v="0"/>
    <n v="0.14427383335803901"/>
    <x v="1"/>
    <n v="6"/>
    <n v="0"/>
    <n v="44437"/>
    <n v="0.34773506397364701"/>
    <s v="Moderate DTI"/>
    <x v="0"/>
    <n v="14"/>
    <x v="3"/>
    <s v="Chicago"/>
    <s v="Missed"/>
    <s v="On-time"/>
    <s v="On-time"/>
    <x v="0"/>
    <s v="On-time"/>
    <s v="Late"/>
  </r>
  <r>
    <s v="CUST0191"/>
    <n v="59"/>
    <n v="183513"/>
    <n v="800"/>
    <x v="2"/>
    <n v="0.75103969689064998"/>
    <x v="2"/>
    <n v="3"/>
    <n v="1"/>
    <n v="49016"/>
    <n v="0.32929882083349699"/>
    <s v="Moderate DTI"/>
    <x v="1"/>
    <n v="2"/>
    <x v="1"/>
    <s v="Chicago"/>
    <s v="Missed"/>
    <s v="On-time"/>
    <s v="Late"/>
    <x v="0"/>
    <s v="Late"/>
    <s v="On-time"/>
  </r>
  <r>
    <s v="CUST0192"/>
    <n v="62"/>
    <n v="42192"/>
    <n v="301"/>
    <x v="0"/>
    <n v="0.53768320165948502"/>
    <x v="0"/>
    <n v="1"/>
    <n v="0"/>
    <n v="45776"/>
    <n v="0.33776145063289398"/>
    <s v="Moderate DTI"/>
    <x v="0"/>
    <n v="14"/>
    <x v="0"/>
    <s v="Houston"/>
    <s v="Missed"/>
    <s v="Missed"/>
    <s v="Late"/>
    <x v="1"/>
    <s v="On-time"/>
    <s v="Late"/>
  </r>
  <r>
    <s v="CUST0193"/>
    <n v="74"/>
    <n v="32019"/>
    <n v="475"/>
    <x v="0"/>
    <n v="0.47481220541063301"/>
    <x v="0"/>
    <n v="4"/>
    <n v="0"/>
    <n v="22835"/>
    <n v="0.339259766446598"/>
    <s v="Moderate DTI"/>
    <x v="1"/>
    <n v="12"/>
    <x v="4"/>
    <s v="Los Angeles"/>
    <s v="On-time"/>
    <s v="On-time"/>
    <s v="On-time"/>
    <x v="2"/>
    <s v="Missed"/>
    <s v="Missed"/>
  </r>
  <r>
    <s v="CUST0194"/>
    <n v="70"/>
    <n v="67638"/>
    <n v="612"/>
    <x v="1"/>
    <n v="0.35650296278378302"/>
    <x v="0"/>
    <n v="0"/>
    <n v="0"/>
    <n v="34897"/>
    <n v="0.45905033445648302"/>
    <s v="Moderate DTI"/>
    <x v="0"/>
    <n v="8"/>
    <x v="1"/>
    <s v="Houston"/>
    <s v="Missed"/>
    <s v="Late"/>
    <s v="Missed"/>
    <x v="1"/>
    <s v="Missed"/>
    <s v="Missed"/>
  </r>
  <r>
    <s v="CUST0195"/>
    <n v="23"/>
    <n v="198401"/>
    <n v="820"/>
    <x v="2"/>
    <n v="0.505955852646924"/>
    <x v="0"/>
    <n v="2"/>
    <n v="1"/>
    <n v="42556"/>
    <n v="0.25403231315107"/>
    <s v="Low DTI"/>
    <x v="0"/>
    <n v="1"/>
    <x v="4"/>
    <s v="Phoenix"/>
    <s v="Missed"/>
    <s v="Missed"/>
    <s v="Missed"/>
    <x v="0"/>
    <s v="On-time"/>
    <s v="Late"/>
  </r>
  <r>
    <s v="CUST0196"/>
    <n v="45"/>
    <n v="153429"/>
    <n v="836"/>
    <x v="2"/>
    <n v="0.33040402446893302"/>
    <x v="0"/>
    <n v="5"/>
    <n v="0"/>
    <n v="45776"/>
    <n v="0.147426409679631"/>
    <s v="Low DTI"/>
    <x v="3"/>
    <n v="7"/>
    <x v="3"/>
    <s v="Houston"/>
    <s v="Late"/>
    <s v="On-time"/>
    <s v="Missed"/>
    <x v="0"/>
    <s v="Late"/>
    <s v="Missed"/>
  </r>
  <r>
    <s v="CUST0197"/>
    <n v="45"/>
    <n v="141020"/>
    <n v="670"/>
    <x v="1"/>
    <n v="0.53480371132411997"/>
    <x v="0"/>
    <n v="6"/>
    <n v="0"/>
    <n v="39259"/>
    <n v="0.23021262313841101"/>
    <s v="Low DTI"/>
    <x v="3"/>
    <n v="19"/>
    <x v="3"/>
    <s v="Phoenix"/>
    <s v="On-time"/>
    <s v="Late"/>
    <s v="On-time"/>
    <x v="1"/>
    <s v="Late"/>
    <s v="Missed"/>
  </r>
  <r>
    <s v="CUST0198"/>
    <n v="61"/>
    <n v="59238"/>
    <n v="847"/>
    <x v="2"/>
    <n v="0.54914679658427001"/>
    <x v="0"/>
    <n v="5"/>
    <n v="1"/>
    <n v="22835"/>
    <n v="0.37572669335353998"/>
    <s v="Moderate DTI"/>
    <x v="2"/>
    <n v="16"/>
    <x v="1"/>
    <s v="New York"/>
    <s v="On-time"/>
    <s v="Missed"/>
    <s v="Missed"/>
    <x v="2"/>
    <s v="On-time"/>
    <s v="On-time"/>
  </r>
  <r>
    <s v="CUST0199"/>
    <n v="61"/>
    <n v="88847"/>
    <n v="751"/>
    <x v="2"/>
    <n v="0.327723259528651"/>
    <x v="0"/>
    <n v="4"/>
    <n v="0"/>
    <n v="72809"/>
    <n v="0.30233295086471701"/>
    <s v="Moderate DTI"/>
    <x v="0"/>
    <n v="12"/>
    <x v="4"/>
    <s v="New York"/>
    <s v="Missed"/>
    <s v="Late"/>
    <s v="Late"/>
    <x v="2"/>
    <s v="Missed"/>
    <s v="Missed"/>
  </r>
  <r>
    <s v="CUST0200"/>
    <n v="37"/>
    <n v="69098"/>
    <n v="648"/>
    <x v="1"/>
    <n v="0.32390760703551802"/>
    <x v="0"/>
    <n v="6"/>
    <n v="0"/>
    <n v="85014"/>
    <n v="0.25324006595050003"/>
    <s v="Low DTI"/>
    <x v="3"/>
    <n v="0"/>
    <x v="3"/>
    <s v="Phoenix"/>
    <s v="Late"/>
    <s v="Late"/>
    <s v="Missed"/>
    <x v="2"/>
    <s v="On-time"/>
    <s v="Late"/>
  </r>
  <r>
    <s v="CUST0201"/>
    <n v="47"/>
    <n v="62295"/>
    <n v="383"/>
    <x v="0"/>
    <n v="0.69243987091902304"/>
    <x v="0"/>
    <n v="6"/>
    <n v="0"/>
    <n v="49016"/>
    <n v="0.192350273159035"/>
    <s v="Low DTI"/>
    <x v="0"/>
    <n v="1"/>
    <x v="0"/>
    <s v="Phoenix"/>
    <s v="On-time"/>
    <s v="Late"/>
    <s v="Late"/>
    <x v="0"/>
    <s v="Missed"/>
    <s v="On-time"/>
  </r>
  <r>
    <s v="CUST0202"/>
    <n v="28"/>
    <n v="164143"/>
    <n v="310"/>
    <x v="0"/>
    <n v="0.48942800914173901"/>
    <x v="0"/>
    <n v="0"/>
    <n v="0"/>
    <n v="95376"/>
    <n v="0.322128612173053"/>
    <s v="Moderate DTI"/>
    <x v="0"/>
    <n v="14"/>
    <x v="2"/>
    <s v="Houston"/>
    <s v="Missed"/>
    <s v="Missed"/>
    <s v="Missed"/>
    <x v="1"/>
    <s v="On-time"/>
    <s v="Missed"/>
  </r>
  <r>
    <s v="CUST0203"/>
    <n v="72"/>
    <n v="143778"/>
    <n v="352"/>
    <x v="0"/>
    <n v="0.34379591414702099"/>
    <x v="0"/>
    <n v="6"/>
    <n v="0"/>
    <n v="10778"/>
    <n v="0.36445062752738"/>
    <s v="Moderate DTI"/>
    <x v="0"/>
    <n v="11"/>
    <x v="2"/>
    <s v="Phoenix"/>
    <s v="Missed"/>
    <s v="On-time"/>
    <s v="Late"/>
    <x v="0"/>
    <s v="Missed"/>
    <s v="Late"/>
  </r>
  <r>
    <s v="CUST0204"/>
    <n v="45"/>
    <n v="154487"/>
    <n v="725"/>
    <x v="1"/>
    <n v="0.42589873966209602"/>
    <x v="0"/>
    <n v="3"/>
    <n v="0"/>
    <n v="95930"/>
    <n v="0.33058720550960202"/>
    <s v="Moderate DTI"/>
    <x v="0"/>
    <n v="13"/>
    <x v="3"/>
    <s v="Los Angeles"/>
    <s v="Missed"/>
    <s v="Late"/>
    <s v="Late"/>
    <x v="1"/>
    <s v="Missed"/>
    <s v="Missed"/>
  </r>
  <r>
    <s v="CUST0205"/>
    <n v="42"/>
    <n v="107658"/>
    <n v="836"/>
    <x v="2"/>
    <n v="0.29788118265867802"/>
    <x v="1"/>
    <n v="1"/>
    <n v="0"/>
    <n v="27697"/>
    <n v="0.27466696688450498"/>
    <s v="Low DTI"/>
    <x v="2"/>
    <n v="1"/>
    <x v="4"/>
    <s v="New York"/>
    <s v="Late"/>
    <s v="Missed"/>
    <s v="On-time"/>
    <x v="0"/>
    <s v="Late"/>
    <s v="On-time"/>
  </r>
  <r>
    <s v="CUST0206"/>
    <n v="56"/>
    <n v="166456"/>
    <n v="522"/>
    <x v="0"/>
    <n v="0.48656328386761599"/>
    <x v="0"/>
    <n v="1"/>
    <n v="1"/>
    <n v="33772"/>
    <n v="0.314664128429746"/>
    <s v="Moderate DTI"/>
    <x v="3"/>
    <n v="17"/>
    <x v="3"/>
    <s v="New York"/>
    <s v="On-time"/>
    <s v="On-time"/>
    <s v="Missed"/>
    <x v="0"/>
    <s v="Missed"/>
    <s v="On-time"/>
  </r>
  <r>
    <s v="CUST0207"/>
    <n v="50"/>
    <n v="36447"/>
    <n v="610"/>
    <x v="1"/>
    <n v="0.66632566153289297"/>
    <x v="0"/>
    <n v="1"/>
    <n v="0"/>
    <n v="42637"/>
    <n v="0.314084296655741"/>
    <s v="Moderate DTI"/>
    <x v="0"/>
    <n v="6"/>
    <x v="4"/>
    <s v="Phoenix"/>
    <s v="On-time"/>
    <s v="Missed"/>
    <s v="Missed"/>
    <x v="0"/>
    <s v="Late"/>
    <s v="Late"/>
  </r>
  <r>
    <s v="CUST0208"/>
    <n v="18"/>
    <n v="165159"/>
    <n v="679"/>
    <x v="1"/>
    <n v="0.49446586648114699"/>
    <x v="0"/>
    <n v="3"/>
    <n v="0"/>
    <n v="3081"/>
    <n v="0.31896969312176598"/>
    <s v="Moderate DTI"/>
    <x v="1"/>
    <n v="5"/>
    <x v="0"/>
    <s v="Chicago"/>
    <s v="Missed"/>
    <s v="Missed"/>
    <s v="On-time"/>
    <x v="2"/>
    <s v="Late"/>
    <s v="On-time"/>
  </r>
  <r>
    <s v="CUST0209"/>
    <n v="74"/>
    <n v="107658"/>
    <n v="709"/>
    <x v="1"/>
    <n v="0.97272668873507695"/>
    <x v="2"/>
    <n v="5"/>
    <n v="0"/>
    <n v="45776"/>
    <n v="0.18156950489808699"/>
    <s v="Low DTI"/>
    <x v="0"/>
    <n v="13"/>
    <x v="4"/>
    <s v="Chicago"/>
    <s v="On-time"/>
    <s v="On-time"/>
    <s v="Missed"/>
    <x v="1"/>
    <s v="Missed"/>
    <s v="On-time"/>
  </r>
  <r>
    <s v="CUST0210"/>
    <n v="44"/>
    <n v="40934"/>
    <n v="566"/>
    <x v="0"/>
    <n v="0.58427191360980002"/>
    <x v="0"/>
    <n v="0"/>
    <n v="0"/>
    <n v="8828"/>
    <n v="0.31973263506148702"/>
    <s v="Moderate DTI"/>
    <x v="0"/>
    <n v="7"/>
    <x v="3"/>
    <s v="Phoenix"/>
    <s v="On-time"/>
    <s v="On-time"/>
    <s v="On-time"/>
    <x v="1"/>
    <s v="Missed"/>
    <s v="Missed"/>
  </r>
  <r>
    <s v="CUST0211"/>
    <n v="74"/>
    <n v="58088"/>
    <n v="701"/>
    <x v="1"/>
    <n v="0.54599088956844199"/>
    <x v="0"/>
    <n v="6"/>
    <n v="0"/>
    <n v="1217"/>
    <n v="0.25594035315337998"/>
    <s v="Low DTI"/>
    <x v="0"/>
    <n v="1"/>
    <x v="0"/>
    <s v="Los Angeles"/>
    <s v="Late"/>
    <s v="On-time"/>
    <s v="Missed"/>
    <x v="1"/>
    <s v="On-time"/>
    <s v="On-time"/>
  </r>
  <r>
    <s v="CUST0212"/>
    <n v="69"/>
    <n v="149415"/>
    <n v="618"/>
    <x v="1"/>
    <n v="0.31833957380683803"/>
    <x v="0"/>
    <n v="3"/>
    <n v="0"/>
    <n v="83604"/>
    <n v="0.40406186060097499"/>
    <s v="Moderate DTI"/>
    <x v="3"/>
    <n v="16"/>
    <x v="1"/>
    <s v="Chicago"/>
    <s v="Late"/>
    <s v="Late"/>
    <s v="Missed"/>
    <x v="2"/>
    <s v="On-time"/>
    <s v="Missed"/>
  </r>
  <r>
    <s v="CUST0213"/>
    <n v="30"/>
    <n v="84836"/>
    <n v="776"/>
    <x v="2"/>
    <n v="0.45229331063146599"/>
    <x v="0"/>
    <n v="1"/>
    <n v="0"/>
    <n v="82909"/>
    <n v="0.31329186417502702"/>
    <s v="Moderate DTI"/>
    <x v="1"/>
    <n v="4"/>
    <x v="2"/>
    <s v="Phoenix"/>
    <s v="Late"/>
    <s v="On-time"/>
    <s v="Late"/>
    <x v="2"/>
    <s v="Missed"/>
    <s v="On-time"/>
  </r>
  <r>
    <s v="CUST0214"/>
    <n v="58"/>
    <n v="97986"/>
    <n v="792"/>
    <x v="2"/>
    <n v="0.34419723139326103"/>
    <x v="0"/>
    <n v="4"/>
    <n v="0"/>
    <n v="13761"/>
    <n v="0.383547922182289"/>
    <s v="Moderate DTI"/>
    <x v="2"/>
    <n v="13"/>
    <x v="3"/>
    <s v="Los Angeles"/>
    <s v="Missed"/>
    <s v="Late"/>
    <s v="On-time"/>
    <x v="2"/>
    <s v="Late"/>
    <s v="Missed"/>
  </r>
  <r>
    <s v="CUST0215"/>
    <n v="20"/>
    <n v="166836"/>
    <n v="600"/>
    <x v="1"/>
    <n v="6.6870954319175197E-2"/>
    <x v="1"/>
    <n v="2"/>
    <n v="0"/>
    <n v="47695"/>
    <n v="0.269821861295024"/>
    <s v="Low DTI"/>
    <x v="2"/>
    <n v="19"/>
    <x v="3"/>
    <s v="Los Angeles"/>
    <s v="On-time"/>
    <s v="Missed"/>
    <s v="Late"/>
    <x v="2"/>
    <s v="On-time"/>
    <s v="On-time"/>
  </r>
  <r>
    <s v="CUST0216"/>
    <n v="56"/>
    <n v="191517"/>
    <n v="781"/>
    <x v="2"/>
    <n v="0.694852444425761"/>
    <x v="0"/>
    <n v="6"/>
    <n v="0"/>
    <n v="11564"/>
    <n v="0.27342861623885401"/>
    <s v="Low DTI"/>
    <x v="1"/>
    <n v="2"/>
    <x v="3"/>
    <s v="Houston"/>
    <s v="Late"/>
    <s v="On-time"/>
    <s v="On-time"/>
    <x v="2"/>
    <s v="Late"/>
    <s v="Missed"/>
  </r>
  <r>
    <s v="CUST0217"/>
    <n v="23"/>
    <n v="38289"/>
    <n v="682"/>
    <x v="1"/>
    <n v="0.39770988888995301"/>
    <x v="0"/>
    <n v="3"/>
    <n v="0"/>
    <n v="43870"/>
    <n v="0.449425124625633"/>
    <s v="Moderate DTI"/>
    <x v="0"/>
    <n v="4"/>
    <x v="0"/>
    <s v="Los Angeles"/>
    <s v="On-time"/>
    <s v="Missed"/>
    <s v="On-time"/>
    <x v="1"/>
    <s v="Missed"/>
    <s v="Missed"/>
  </r>
  <r>
    <s v="CUST0218"/>
    <n v="25"/>
    <n v="115497"/>
    <n v="617"/>
    <x v="1"/>
    <n v="0.34791998513333799"/>
    <x v="0"/>
    <n v="3"/>
    <n v="0"/>
    <n v="92149"/>
    <n v="0.34363351884155002"/>
    <s v="Moderate DTI"/>
    <x v="3"/>
    <n v="15"/>
    <x v="1"/>
    <s v="Chicago"/>
    <s v="On-time"/>
    <s v="Late"/>
    <s v="Late"/>
    <x v="2"/>
    <s v="Missed"/>
    <s v="Missed"/>
  </r>
  <r>
    <s v="CUST0219"/>
    <n v="44"/>
    <n v="72108"/>
    <n v="339"/>
    <x v="0"/>
    <n v="0.54211400679169297"/>
    <x v="0"/>
    <n v="0"/>
    <n v="0"/>
    <n v="23748"/>
    <n v="0.22854854675942601"/>
    <s v="Low DTI"/>
    <x v="0"/>
    <n v="17"/>
    <x v="4"/>
    <s v="Chicago"/>
    <s v="On-time"/>
    <s v="On-time"/>
    <s v="Late"/>
    <x v="1"/>
    <s v="On-time"/>
    <s v="Missed"/>
  </r>
  <r>
    <s v="CUST0220"/>
    <n v="26"/>
    <n v="54298"/>
    <n v="836"/>
    <x v="2"/>
    <n v="0.60249991044430296"/>
    <x v="0"/>
    <n v="0"/>
    <n v="0"/>
    <n v="15424"/>
    <n v="0.38969744386204702"/>
    <s v="Moderate DTI"/>
    <x v="1"/>
    <n v="16"/>
    <x v="1"/>
    <s v="Phoenix"/>
    <s v="On-time"/>
    <s v="Missed"/>
    <s v="Late"/>
    <x v="1"/>
    <s v="Missed"/>
    <s v="Missed"/>
  </r>
  <r>
    <s v="CUST0221"/>
    <n v="54"/>
    <n v="187312"/>
    <n v="825"/>
    <x v="2"/>
    <n v="0.43584503341874398"/>
    <x v="0"/>
    <n v="3"/>
    <n v="0"/>
    <n v="21613"/>
    <n v="0.24666952665721201"/>
    <s v="Low DTI"/>
    <x v="0"/>
    <n v="10"/>
    <x v="0"/>
    <s v="Phoenix"/>
    <s v="Late"/>
    <s v="Missed"/>
    <s v="On-time"/>
    <x v="0"/>
    <s v="Missed"/>
    <s v="Late"/>
  </r>
  <r>
    <s v="CUST0222"/>
    <n v="50"/>
    <n v="146456"/>
    <n v="768"/>
    <x v="2"/>
    <n v="0.49947966647819603"/>
    <x v="0"/>
    <n v="1"/>
    <n v="1"/>
    <n v="41743"/>
    <n v="0.32256981378115201"/>
    <s v="Moderate DTI"/>
    <x v="0"/>
    <n v="16"/>
    <x v="3"/>
    <s v="Los Angeles"/>
    <s v="Late"/>
    <s v="Late"/>
    <s v="Missed"/>
    <x v="1"/>
    <s v="On-time"/>
    <s v="Late"/>
  </r>
  <r>
    <s v="CUST0223"/>
    <n v="68"/>
    <n v="52131"/>
    <n v="565"/>
    <x v="0"/>
    <n v="0.64923748146287996"/>
    <x v="0"/>
    <n v="2"/>
    <n v="0"/>
    <n v="24851"/>
    <n v="0.48366746308594"/>
    <s v="Moderate DTI"/>
    <x v="2"/>
    <n v="15"/>
    <x v="2"/>
    <s v="New York"/>
    <s v="Missed"/>
    <s v="On-time"/>
    <s v="Late"/>
    <x v="2"/>
    <s v="Late"/>
    <s v="Late"/>
  </r>
  <r>
    <s v="CUST0224"/>
    <n v="59"/>
    <n v="88963"/>
    <n v="572"/>
    <x v="0"/>
    <n v="0.42796128107801001"/>
    <x v="0"/>
    <n v="6"/>
    <n v="0"/>
    <n v="41958"/>
    <n v="0.15687176123619401"/>
    <s v="Low DTI"/>
    <x v="1"/>
    <n v="1"/>
    <x v="3"/>
    <s v="Houston"/>
    <s v="On-time"/>
    <s v="Missed"/>
    <s v="On-time"/>
    <x v="0"/>
    <s v="Missed"/>
    <s v="On-time"/>
  </r>
  <r>
    <s v="CUST0225"/>
    <n v="61"/>
    <n v="107658"/>
    <n v="535"/>
    <x v="0"/>
    <n v="0.56046674835266597"/>
    <x v="0"/>
    <n v="0"/>
    <n v="0"/>
    <n v="98062"/>
    <n v="0.28242180782334603"/>
    <s v="Low DTI"/>
    <x v="2"/>
    <n v="3"/>
    <x v="4"/>
    <s v="New York"/>
    <s v="Late"/>
    <s v="On-time"/>
    <s v="On-time"/>
    <x v="0"/>
    <s v="Late"/>
    <s v="Missed"/>
  </r>
  <r>
    <s v="CUST0226"/>
    <n v="41"/>
    <n v="180983"/>
    <n v="776"/>
    <x v="2"/>
    <n v="0.168151076322169"/>
    <x v="1"/>
    <n v="6"/>
    <n v="0"/>
    <n v="14756"/>
    <n v="0.34082716409020303"/>
    <s v="Moderate DTI"/>
    <x v="0"/>
    <n v="6"/>
    <x v="2"/>
    <s v="Los Angeles"/>
    <s v="Missed"/>
    <s v="On-time"/>
    <s v="On-time"/>
    <x v="0"/>
    <s v="Late"/>
    <s v="Late"/>
  </r>
  <r>
    <s v="CUST0227"/>
    <n v="32"/>
    <n v="20569"/>
    <n v="823"/>
    <x v="2"/>
    <n v="0.25173620031444999"/>
    <x v="1"/>
    <n v="1"/>
    <n v="0"/>
    <n v="11061"/>
    <n v="0.37646983346646701"/>
    <s v="Moderate DTI"/>
    <x v="2"/>
    <n v="1"/>
    <x v="3"/>
    <s v="Los Angeles"/>
    <s v="Late"/>
    <s v="Late"/>
    <s v="Missed"/>
    <x v="1"/>
    <s v="On-time"/>
    <s v="Missed"/>
  </r>
  <r>
    <s v="CUST0228"/>
    <n v="71"/>
    <n v="150683"/>
    <n v="820"/>
    <x v="2"/>
    <n v="0.62110795561608001"/>
    <x v="0"/>
    <n v="6"/>
    <n v="0"/>
    <n v="11308"/>
    <n v="0.17587660926391199"/>
    <s v="Low DTI"/>
    <x v="1"/>
    <n v="5"/>
    <x v="2"/>
    <s v="New York"/>
    <s v="Missed"/>
    <s v="Missed"/>
    <s v="Missed"/>
    <x v="2"/>
    <s v="Missed"/>
    <s v="Late"/>
  </r>
  <r>
    <s v="CUST0229"/>
    <n v="49"/>
    <n v="107658"/>
    <n v="753"/>
    <x v="2"/>
    <n v="0.24128827216654"/>
    <x v="1"/>
    <n v="4"/>
    <n v="0"/>
    <n v="62010"/>
    <n v="0.146420973142498"/>
    <s v="Low DTI"/>
    <x v="0"/>
    <n v="16"/>
    <x v="1"/>
    <s v="Houston"/>
    <s v="Late"/>
    <s v="Late"/>
    <s v="On-time"/>
    <x v="0"/>
    <s v="Missed"/>
    <s v="Missed"/>
  </r>
  <r>
    <s v="CUST0230"/>
    <n v="49"/>
    <n v="191615"/>
    <n v="659"/>
    <x v="1"/>
    <n v="0.54682750942265901"/>
    <x v="0"/>
    <n v="0"/>
    <n v="1"/>
    <n v="73327"/>
    <n v="0.40907493519904198"/>
    <s v="Moderate DTI"/>
    <x v="0"/>
    <n v="6"/>
    <x v="0"/>
    <s v="New York"/>
    <s v="Missed"/>
    <s v="Missed"/>
    <s v="On-time"/>
    <x v="0"/>
    <s v="Missed"/>
    <s v="On-time"/>
  </r>
  <r>
    <s v="CUST0231"/>
    <n v="41"/>
    <n v="165580"/>
    <n v="629"/>
    <x v="1"/>
    <n v="0.470600243560585"/>
    <x v="0"/>
    <n v="1"/>
    <n v="0"/>
    <n v="96167"/>
    <n v="0.227958514319616"/>
    <s v="Low DTI"/>
    <x v="1"/>
    <n v="4"/>
    <x v="3"/>
    <s v="Phoenix"/>
    <s v="Late"/>
    <s v="On-time"/>
    <s v="Missed"/>
    <x v="0"/>
    <s v="Late"/>
    <s v="On-time"/>
  </r>
  <r>
    <s v="CUST0232"/>
    <n v="58"/>
    <n v="70284"/>
    <n v="696"/>
    <x v="1"/>
    <n v="0.427106547495954"/>
    <x v="0"/>
    <n v="1"/>
    <n v="1"/>
    <n v="2882"/>
    <n v="0.22377174920026799"/>
    <s v="Low DTI"/>
    <x v="0"/>
    <n v="4"/>
    <x v="4"/>
    <s v="Chicago"/>
    <s v="On-time"/>
    <s v="On-time"/>
    <s v="Late"/>
    <x v="0"/>
    <s v="On-time"/>
    <s v="Late"/>
  </r>
  <r>
    <s v="CUST0233"/>
    <n v="69"/>
    <n v="127816"/>
    <n v="781"/>
    <x v="2"/>
    <n v="0.33430744620645397"/>
    <x v="0"/>
    <n v="2"/>
    <n v="0"/>
    <n v="32588"/>
    <n v="0.45502496727721597"/>
    <s v="Moderate DTI"/>
    <x v="3"/>
    <n v="19"/>
    <x v="1"/>
    <s v="Phoenix"/>
    <s v="Late"/>
    <s v="On-time"/>
    <s v="Late"/>
    <x v="0"/>
    <s v="Missed"/>
    <s v="Missed"/>
  </r>
  <r>
    <s v="CUST0234"/>
    <n v="66"/>
    <n v="85390"/>
    <n v="617"/>
    <x v="1"/>
    <n v="0.68186800362107503"/>
    <x v="0"/>
    <n v="2"/>
    <n v="0"/>
    <n v="11061"/>
    <n v="0.30697023147318198"/>
    <s v="Moderate DTI"/>
    <x v="1"/>
    <n v="15"/>
    <x v="3"/>
    <s v="Chicago"/>
    <s v="Late"/>
    <s v="On-time"/>
    <s v="On-time"/>
    <x v="1"/>
    <s v="Missed"/>
    <s v="Missed"/>
  </r>
  <r>
    <s v="CUST0235"/>
    <n v="66"/>
    <n v="74101"/>
    <n v="561"/>
    <x v="0"/>
    <n v="0.84597823090396695"/>
    <x v="2"/>
    <n v="4"/>
    <n v="0"/>
    <n v="42715"/>
    <n v="0.30762382276815697"/>
    <s v="Moderate DTI"/>
    <x v="0"/>
    <n v="18"/>
    <x v="1"/>
    <s v="Los Angeles"/>
    <s v="Missed"/>
    <s v="Late"/>
    <s v="Missed"/>
    <x v="1"/>
    <s v="Missed"/>
    <s v="Missed"/>
  </r>
  <r>
    <s v="CUST0236"/>
    <n v="69"/>
    <n v="127816"/>
    <n v="345"/>
    <x v="0"/>
    <n v="0.56003843252003804"/>
    <x v="0"/>
    <n v="1"/>
    <n v="0"/>
    <n v="2926"/>
    <n v="0.28202005548484599"/>
    <s v="Low DTI"/>
    <x v="3"/>
    <n v="8"/>
    <x v="4"/>
    <s v="Houston"/>
    <s v="Late"/>
    <s v="Late"/>
    <s v="On-time"/>
    <x v="1"/>
    <s v="Late"/>
    <s v="Missed"/>
  </r>
  <r>
    <s v="CUST0237"/>
    <n v="29"/>
    <n v="178273"/>
    <n v="363"/>
    <x v="0"/>
    <n v="0.56449814313456304"/>
    <x v="0"/>
    <n v="5"/>
    <n v="0"/>
    <n v="98999"/>
    <n v="0.17760179332568299"/>
    <s v="Low DTI"/>
    <x v="1"/>
    <n v="4"/>
    <x v="3"/>
    <s v="New York"/>
    <s v="On-time"/>
    <s v="Missed"/>
    <s v="Missed"/>
    <x v="2"/>
    <s v="Missed"/>
    <s v="Missed"/>
  </r>
  <r>
    <s v="CUST0238"/>
    <n v="56"/>
    <n v="61540"/>
    <n v="731"/>
    <x v="1"/>
    <n v="0.36353387402850101"/>
    <x v="0"/>
    <n v="1"/>
    <n v="1"/>
    <n v="75777"/>
    <n v="0.36756969493943797"/>
    <s v="Moderate DTI"/>
    <x v="0"/>
    <n v="7"/>
    <x v="4"/>
    <s v="Houston"/>
    <s v="On-time"/>
    <s v="Missed"/>
    <s v="On-time"/>
    <x v="1"/>
    <s v="On-time"/>
    <s v="On-time"/>
  </r>
  <r>
    <s v="CUST0239"/>
    <n v="19"/>
    <n v="170576"/>
    <n v="729"/>
    <x v="1"/>
    <n v="0.26078055363512398"/>
    <x v="1"/>
    <n v="2"/>
    <n v="0"/>
    <n v="29561"/>
    <n v="0.34094505219256199"/>
    <s v="Moderate DTI"/>
    <x v="0"/>
    <n v="8"/>
    <x v="2"/>
    <s v="New York"/>
    <s v="On-time"/>
    <s v="Late"/>
    <s v="On-time"/>
    <x v="1"/>
    <s v="Missed"/>
    <s v="Late"/>
  </r>
  <r>
    <s v="CUST0240"/>
    <n v="20"/>
    <n v="191615"/>
    <n v="332"/>
    <x v="0"/>
    <n v="0.492052219038765"/>
    <x v="0"/>
    <n v="5"/>
    <n v="0"/>
    <n v="44439"/>
    <n v="0.316869132533943"/>
    <s v="Moderate DTI"/>
    <x v="0"/>
    <n v="4"/>
    <x v="4"/>
    <s v="Phoenix"/>
    <s v="On-time"/>
    <s v="On-time"/>
    <s v="Missed"/>
    <x v="2"/>
    <s v="Late"/>
    <s v="On-time"/>
  </r>
  <r>
    <s v="CUST0241"/>
    <n v="66"/>
    <n v="138961"/>
    <n v="563"/>
    <x v="0"/>
    <n v="0.30525007040838398"/>
    <x v="0"/>
    <n v="0"/>
    <n v="0"/>
    <n v="33772"/>
    <n v="0.288367696072374"/>
    <s v="Low DTI"/>
    <x v="2"/>
    <n v="9"/>
    <x v="2"/>
    <s v="Phoenix"/>
    <s v="On-time"/>
    <s v="Late"/>
    <s v="Missed"/>
    <x v="0"/>
    <s v="Missed"/>
    <s v="Missed"/>
  </r>
  <r>
    <s v="CUST0242"/>
    <n v="54"/>
    <n v="114657"/>
    <n v="522"/>
    <x v="0"/>
    <n v="0.14547797433683499"/>
    <x v="1"/>
    <n v="0"/>
    <n v="0"/>
    <n v="31481"/>
    <n v="0.27076803506617098"/>
    <s v="Low DTI"/>
    <x v="3"/>
    <n v="1"/>
    <x v="3"/>
    <s v="New York"/>
    <s v="Late"/>
    <s v="Missed"/>
    <s v="Late"/>
    <x v="2"/>
    <s v="Missed"/>
    <s v="Late"/>
  </r>
  <r>
    <s v="CUST0243"/>
    <n v="66"/>
    <n v="76813"/>
    <n v="749"/>
    <x v="1"/>
    <n v="0.66068916247311604"/>
    <x v="0"/>
    <n v="6"/>
    <n v="0"/>
    <n v="29584"/>
    <n v="0.39124833895474098"/>
    <s v="Moderate DTI"/>
    <x v="0"/>
    <n v="8"/>
    <x v="2"/>
    <s v="Houston"/>
    <s v="On-time"/>
    <s v="On-time"/>
    <s v="Late"/>
    <x v="0"/>
    <s v="On-time"/>
    <s v="Late"/>
  </r>
  <r>
    <s v="CUST0244"/>
    <n v="73"/>
    <n v="48307"/>
    <n v="319"/>
    <x v="0"/>
    <n v="0.67043335765036605"/>
    <x v="0"/>
    <n v="3"/>
    <n v="0"/>
    <n v="45776"/>
    <n v="0.28587069367939"/>
    <s v="Low DTI"/>
    <x v="0"/>
    <n v="10"/>
    <x v="3"/>
    <s v="New York"/>
    <s v="Late"/>
    <s v="On-time"/>
    <s v="Late"/>
    <x v="0"/>
    <s v="Missed"/>
    <s v="Late"/>
  </r>
  <r>
    <s v="CUST0245"/>
    <n v="34"/>
    <n v="193677"/>
    <n v="380"/>
    <x v="0"/>
    <n v="0.32823224540938101"/>
    <x v="0"/>
    <n v="2"/>
    <n v="0"/>
    <n v="83604"/>
    <n v="0.29359389614661102"/>
    <s v="Low DTI"/>
    <x v="2"/>
    <n v="3"/>
    <x v="3"/>
    <s v="Los Angeles"/>
    <s v="Late"/>
    <s v="On-time"/>
    <s v="Missed"/>
    <x v="2"/>
    <s v="Missed"/>
    <s v="Missed"/>
  </r>
  <r>
    <s v="CUST0246"/>
    <n v="66"/>
    <n v="186334"/>
    <n v="521"/>
    <x v="0"/>
    <n v="0.54879286425584795"/>
    <x v="0"/>
    <n v="3"/>
    <n v="0"/>
    <n v="20052"/>
    <n v="0.35298931548837698"/>
    <s v="Moderate DTI"/>
    <x v="0"/>
    <n v="1"/>
    <x v="0"/>
    <s v="Phoenix"/>
    <s v="Missed"/>
    <s v="Late"/>
    <s v="Missed"/>
    <x v="1"/>
    <s v="On-time"/>
    <s v="Late"/>
  </r>
  <r>
    <s v="CUST0247"/>
    <n v="19"/>
    <n v="74163"/>
    <n v="623"/>
    <x v="1"/>
    <n v="0.70039045355835305"/>
    <x v="2"/>
    <n v="5"/>
    <n v="0"/>
    <n v="15424"/>
    <n v="0.32079609306803802"/>
    <s v="Moderate DTI"/>
    <x v="0"/>
    <n v="5"/>
    <x v="3"/>
    <s v="Los Angeles"/>
    <s v="Missed"/>
    <s v="Late"/>
    <s v="Missed"/>
    <x v="0"/>
    <s v="Late"/>
    <s v="On-time"/>
  </r>
  <r>
    <s v="CUST0248"/>
    <n v="19"/>
    <n v="102235"/>
    <n v="412"/>
    <x v="0"/>
    <n v="0.541005337412375"/>
    <x v="0"/>
    <n v="2"/>
    <n v="1"/>
    <n v="26649"/>
    <n v="0.46422760575404298"/>
    <s v="Moderate DTI"/>
    <x v="1"/>
    <n v="13"/>
    <x v="2"/>
    <s v="Phoenix"/>
    <s v="On-time"/>
    <s v="Late"/>
    <s v="On-time"/>
    <x v="2"/>
    <s v="On-time"/>
    <s v="Late"/>
  </r>
  <r>
    <s v="CUST0249"/>
    <n v="45"/>
    <n v="27763"/>
    <n v="655"/>
    <x v="1"/>
    <n v="0.26136907078025301"/>
    <x v="1"/>
    <n v="4"/>
    <n v="0"/>
    <n v="52425"/>
    <n v="0.12386332225266899"/>
    <s v="Low DTI"/>
    <x v="0"/>
    <n v="0"/>
    <x v="0"/>
    <s v="Phoenix"/>
    <s v="On-time"/>
    <s v="On-time"/>
    <s v="Late"/>
    <x v="0"/>
    <s v="Missed"/>
    <s v="Late"/>
  </r>
  <r>
    <s v="CUST0250"/>
    <n v="71"/>
    <n v="39285"/>
    <n v="818"/>
    <x v="2"/>
    <n v="0.45342131735258001"/>
    <x v="0"/>
    <n v="1"/>
    <n v="0"/>
    <n v="99620"/>
    <n v="0.329990743836726"/>
    <s v="Moderate DTI"/>
    <x v="3"/>
    <n v="17"/>
    <x v="0"/>
    <s v="Chicago"/>
    <s v="Missed"/>
    <s v="On-time"/>
    <s v="Missed"/>
    <x v="1"/>
    <s v="On-time"/>
    <s v="On-time"/>
  </r>
  <r>
    <s v="CUST0251"/>
    <n v="40"/>
    <n v="66991"/>
    <n v="337"/>
    <x v="0"/>
    <n v="0.765361884008398"/>
    <x v="2"/>
    <n v="4"/>
    <n v="0"/>
    <n v="23431"/>
    <n v="0.229439421952783"/>
    <s v="Low DTI"/>
    <x v="0"/>
    <n v="6"/>
    <x v="3"/>
    <s v="Los Angeles"/>
    <s v="Missed"/>
    <s v="Missed"/>
    <s v="On-time"/>
    <x v="0"/>
    <s v="Late"/>
    <s v="Missed"/>
  </r>
  <r>
    <s v="CUST0252"/>
    <n v="54"/>
    <n v="185883"/>
    <n v="663"/>
    <x v="1"/>
    <n v="0.54940532872102199"/>
    <x v="0"/>
    <n v="5"/>
    <n v="1"/>
    <n v="95074"/>
    <n v="0.20579134652450701"/>
    <s v="Low DTI"/>
    <x v="0"/>
    <n v="0"/>
    <x v="4"/>
    <s v="Los Angeles"/>
    <s v="Missed"/>
    <s v="On-time"/>
    <s v="Missed"/>
    <x v="0"/>
    <s v="On-time"/>
    <s v="Late"/>
  </r>
  <r>
    <s v="CUST0253"/>
    <n v="49"/>
    <n v="119185"/>
    <n v="635"/>
    <x v="1"/>
    <n v="0.607826420636561"/>
    <x v="0"/>
    <n v="2"/>
    <n v="0"/>
    <n v="31674"/>
    <n v="0.25429357939556502"/>
    <s v="Low DTI"/>
    <x v="1"/>
    <n v="0"/>
    <x v="4"/>
    <s v="Chicago"/>
    <s v="Missed"/>
    <s v="Missed"/>
    <s v="Late"/>
    <x v="1"/>
    <s v="Late"/>
    <s v="On-time"/>
  </r>
  <r>
    <s v="CUST0254"/>
    <n v="50"/>
    <n v="98042"/>
    <n v="847"/>
    <x v="2"/>
    <n v="0.56832584387382201"/>
    <x v="0"/>
    <n v="5"/>
    <n v="1"/>
    <n v="90739"/>
    <n v="0.30546794084817602"/>
    <s v="Moderate DTI"/>
    <x v="0"/>
    <n v="0"/>
    <x v="0"/>
    <s v="Houston"/>
    <s v="On-time"/>
    <s v="Missed"/>
    <s v="Late"/>
    <x v="1"/>
    <s v="Missed"/>
    <s v="On-time"/>
  </r>
  <r>
    <s v="CUST0255"/>
    <n v="18"/>
    <n v="116042"/>
    <n v="544"/>
    <x v="0"/>
    <n v="0.328897728404349"/>
    <x v="0"/>
    <n v="1"/>
    <n v="0"/>
    <n v="30509"/>
    <n v="0.30990690759234002"/>
    <s v="Moderate DTI"/>
    <x v="2"/>
    <n v="3"/>
    <x v="3"/>
    <s v="Los Angeles"/>
    <s v="Missed"/>
    <s v="Late"/>
    <s v="On-time"/>
    <x v="2"/>
    <s v="Missed"/>
    <s v="Missed"/>
  </r>
  <r>
    <s v="CUST0256"/>
    <n v="36"/>
    <n v="95219"/>
    <n v="535"/>
    <x v="0"/>
    <n v="0.37583095614347101"/>
    <x v="0"/>
    <n v="0"/>
    <n v="0"/>
    <n v="41594"/>
    <n v="0.14826937843214999"/>
    <s v="Low DTI"/>
    <x v="1"/>
    <n v="3"/>
    <x v="4"/>
    <s v="New York"/>
    <s v="On-time"/>
    <s v="Missed"/>
    <s v="Missed"/>
    <x v="2"/>
    <s v="On-time"/>
    <s v="Late"/>
  </r>
  <r>
    <s v="CUST0257"/>
    <n v="19"/>
    <n v="155734"/>
    <n v="524"/>
    <x v="0"/>
    <n v="0.56777303141034796"/>
    <x v="0"/>
    <n v="0"/>
    <n v="0"/>
    <n v="3142"/>
    <n v="0.24589161703221801"/>
    <s v="Low DTI"/>
    <x v="2"/>
    <n v="17"/>
    <x v="3"/>
    <s v="Chicago"/>
    <s v="On-time"/>
    <s v="On-time"/>
    <s v="On-time"/>
    <x v="2"/>
    <s v="Late"/>
    <s v="Missed"/>
  </r>
  <r>
    <s v="CUST0258"/>
    <n v="70"/>
    <n v="116042"/>
    <n v="608"/>
    <x v="1"/>
    <n v="0.66337435600408101"/>
    <x v="0"/>
    <n v="5"/>
    <n v="1"/>
    <n v="63443"/>
    <n v="0.32812215514764498"/>
    <s v="Moderate DTI"/>
    <x v="1"/>
    <n v="10"/>
    <x v="3"/>
    <s v="Los Angeles"/>
    <s v="Late"/>
    <s v="On-time"/>
    <s v="Missed"/>
    <x v="0"/>
    <s v="Missed"/>
    <s v="On-time"/>
  </r>
  <r>
    <s v="CUST0259"/>
    <n v="61"/>
    <n v="109456"/>
    <n v="354"/>
    <x v="0"/>
    <n v="0.71998099018357598"/>
    <x v="2"/>
    <n v="3"/>
    <n v="0"/>
    <n v="8526"/>
    <n v="0.21230695492163401"/>
    <s v="Low DTI"/>
    <x v="0"/>
    <n v="0"/>
    <x v="0"/>
    <s v="Houston"/>
    <s v="Late"/>
    <s v="Missed"/>
    <s v="On-time"/>
    <x v="1"/>
    <s v="On-time"/>
    <s v="Missed"/>
  </r>
  <r>
    <s v="CUST0260"/>
    <n v="43"/>
    <n v="70284"/>
    <n v="405"/>
    <x v="0"/>
    <n v="0.32837889104636098"/>
    <x v="0"/>
    <n v="2"/>
    <n v="0"/>
    <n v="10778"/>
    <n v="0.18852160952834801"/>
    <s v="Low DTI"/>
    <x v="2"/>
    <n v="9"/>
    <x v="0"/>
    <s v="Los Angeles"/>
    <s v="Late"/>
    <s v="Missed"/>
    <s v="Missed"/>
    <x v="2"/>
    <s v="Missed"/>
    <s v="On-time"/>
  </r>
  <r>
    <s v="CUST0261"/>
    <n v="49"/>
    <n v="61540"/>
    <n v="777"/>
    <x v="2"/>
    <n v="0.58662410693543798"/>
    <x v="0"/>
    <n v="2"/>
    <n v="0"/>
    <n v="15171"/>
    <n v="0.1"/>
    <s v="Low DTI"/>
    <x v="2"/>
    <n v="8"/>
    <x v="1"/>
    <s v="Phoenix"/>
    <s v="On-time"/>
    <s v="Missed"/>
    <s v="Late"/>
    <x v="2"/>
    <s v="On-time"/>
    <s v="Late"/>
  </r>
  <r>
    <s v="CUST0262"/>
    <n v="23"/>
    <n v="93752"/>
    <n v="350"/>
    <x v="0"/>
    <n v="0.73740882234379501"/>
    <x v="2"/>
    <n v="0"/>
    <n v="0"/>
    <n v="11942"/>
    <n v="0.233680655162464"/>
    <s v="Low DTI"/>
    <x v="2"/>
    <n v="3"/>
    <x v="4"/>
    <s v="New York"/>
    <s v="On-time"/>
    <s v="Missed"/>
    <s v="On-time"/>
    <x v="0"/>
    <s v="Missed"/>
    <s v="Late"/>
  </r>
  <r>
    <s v="CUST0263"/>
    <n v="49"/>
    <n v="42350"/>
    <n v="341"/>
    <x v="0"/>
    <n v="0.30258364594239501"/>
    <x v="0"/>
    <n v="6"/>
    <n v="0"/>
    <n v="83022"/>
    <n v="0.18503708010491801"/>
    <s v="Low DTI"/>
    <x v="1"/>
    <n v="5"/>
    <x v="4"/>
    <s v="Chicago"/>
    <s v="Late"/>
    <s v="Missed"/>
    <s v="Missed"/>
    <x v="0"/>
    <s v="Missed"/>
    <s v="Missed"/>
  </r>
  <r>
    <s v="CUST0264"/>
    <n v="72"/>
    <n v="97750"/>
    <n v="414"/>
    <x v="0"/>
    <n v="0.79734942715995405"/>
    <x v="2"/>
    <n v="4"/>
    <n v="0"/>
    <n v="72332"/>
    <n v="0.20160671168899399"/>
    <s v="Low DTI"/>
    <x v="0"/>
    <n v="15"/>
    <x v="4"/>
    <s v="Phoenix"/>
    <s v="Late"/>
    <s v="Missed"/>
    <s v="Late"/>
    <x v="1"/>
    <s v="On-time"/>
    <s v="Missed"/>
  </r>
  <r>
    <s v="CUST0265"/>
    <n v="21"/>
    <n v="142016"/>
    <n v="445"/>
    <x v="0"/>
    <n v="0.82778816546883704"/>
    <x v="2"/>
    <n v="6"/>
    <n v="1"/>
    <n v="65548"/>
    <n v="0.27281796967203398"/>
    <s v="Low DTI"/>
    <x v="0"/>
    <n v="1"/>
    <x v="2"/>
    <s v="Houston"/>
    <s v="Late"/>
    <s v="On-time"/>
    <s v="Missed"/>
    <x v="0"/>
    <s v="Late"/>
    <s v="On-time"/>
  </r>
  <r>
    <s v="CUST0266"/>
    <n v="72"/>
    <n v="16062"/>
    <n v="584"/>
    <x v="0"/>
    <n v="1.0250172679243299"/>
    <x v="2"/>
    <n v="1"/>
    <n v="0"/>
    <n v="92285"/>
    <n v="0.24001711234570999"/>
    <s v="Low DTI"/>
    <x v="2"/>
    <n v="17"/>
    <x v="3"/>
    <s v="Phoenix"/>
    <s v="Missed"/>
    <s v="Late"/>
    <s v="Missed"/>
    <x v="1"/>
    <s v="On-time"/>
    <s v="Late"/>
  </r>
  <r>
    <s v="CUST0267"/>
    <n v="28"/>
    <n v="75692"/>
    <n v="534"/>
    <x v="0"/>
    <n v="0.54618668816599802"/>
    <x v="0"/>
    <n v="4"/>
    <n v="0"/>
    <n v="48397"/>
    <n v="0.183376210614069"/>
    <s v="Low DTI"/>
    <x v="3"/>
    <n v="9"/>
    <x v="0"/>
    <s v="Phoenix"/>
    <s v="Missed"/>
    <s v="Missed"/>
    <s v="Late"/>
    <x v="0"/>
    <s v="Missed"/>
    <s v="Late"/>
  </r>
  <r>
    <s v="CUST0268"/>
    <n v="73"/>
    <n v="158087"/>
    <n v="669"/>
    <x v="1"/>
    <n v="0.547284935252489"/>
    <x v="0"/>
    <n v="4"/>
    <n v="0"/>
    <n v="68998"/>
    <n v="0.1"/>
    <s v="Low DTI"/>
    <x v="0"/>
    <n v="16"/>
    <x v="4"/>
    <s v="Houston"/>
    <s v="Late"/>
    <s v="Late"/>
    <s v="Missed"/>
    <x v="2"/>
    <s v="Missed"/>
    <s v="Late"/>
  </r>
  <r>
    <s v="CUST0269"/>
    <n v="34"/>
    <n v="53765"/>
    <n v="736"/>
    <x v="1"/>
    <n v="0.66539887782346296"/>
    <x v="0"/>
    <n v="5"/>
    <n v="0"/>
    <n v="52413"/>
    <n v="0.33023113051476399"/>
    <s v="Moderate DTI"/>
    <x v="3"/>
    <n v="12"/>
    <x v="1"/>
    <s v="Phoenix"/>
    <s v="Missed"/>
    <s v="Missed"/>
    <s v="On-time"/>
    <x v="2"/>
    <s v="Missed"/>
    <s v="Late"/>
  </r>
  <r>
    <s v="CUST0270"/>
    <n v="55"/>
    <n v="198062"/>
    <n v="766"/>
    <x v="2"/>
    <n v="0.65956053460988295"/>
    <x v="0"/>
    <n v="0"/>
    <n v="0"/>
    <n v="50989"/>
    <n v="0.37528272138084701"/>
    <s v="Moderate DTI"/>
    <x v="0"/>
    <n v="17"/>
    <x v="4"/>
    <s v="Chicago"/>
    <s v="Missed"/>
    <s v="Missed"/>
    <s v="On-time"/>
    <x v="1"/>
    <s v="Late"/>
    <s v="Late"/>
  </r>
  <r>
    <s v="CUST0271"/>
    <n v="41"/>
    <n v="38049"/>
    <n v="648"/>
    <x v="1"/>
    <n v="0.72527337219912102"/>
    <x v="2"/>
    <n v="6"/>
    <n v="0"/>
    <n v="44016"/>
    <n v="0.26032550210056199"/>
    <s v="Low DTI"/>
    <x v="0"/>
    <n v="12"/>
    <x v="3"/>
    <s v="Los Angeles"/>
    <s v="Late"/>
    <s v="Missed"/>
    <s v="Late"/>
    <x v="2"/>
    <s v="Missed"/>
    <s v="Missed"/>
  </r>
  <r>
    <s v="CUST0272"/>
    <n v="22"/>
    <n v="166222"/>
    <n v="762"/>
    <x v="2"/>
    <n v="0.65680663609302004"/>
    <x v="0"/>
    <n v="6"/>
    <n v="0"/>
    <n v="29416"/>
    <n v="0.27342243035457198"/>
    <s v="Low DTI"/>
    <x v="2"/>
    <n v="16"/>
    <x v="3"/>
    <s v="Phoenix"/>
    <s v="Late"/>
    <s v="Missed"/>
    <s v="Missed"/>
    <x v="0"/>
    <s v="Late"/>
    <s v="Late"/>
  </r>
  <r>
    <s v="CUST0273"/>
    <n v="69"/>
    <n v="107658"/>
    <n v="423"/>
    <x v="0"/>
    <n v="0.47878761819239202"/>
    <x v="0"/>
    <n v="0"/>
    <n v="1"/>
    <n v="45776"/>
    <n v="0.30028105156861201"/>
    <s v="Moderate DTI"/>
    <x v="2"/>
    <n v="4"/>
    <x v="0"/>
    <s v="Chicago"/>
    <s v="Missed"/>
    <s v="Late"/>
    <s v="Missed"/>
    <x v="0"/>
    <s v="Missed"/>
    <s v="Missed"/>
  </r>
  <r>
    <s v="CUST0274"/>
    <n v="51"/>
    <n v="193031"/>
    <n v="670"/>
    <x v="1"/>
    <n v="0.74439942419469995"/>
    <x v="2"/>
    <n v="6"/>
    <n v="1"/>
    <n v="80150"/>
    <n v="0.45787835766122498"/>
    <s v="Moderate DTI"/>
    <x v="1"/>
    <n v="10"/>
    <x v="2"/>
    <s v="Los Angeles"/>
    <s v="On-time"/>
    <s v="On-time"/>
    <s v="Missed"/>
    <x v="1"/>
    <s v="Late"/>
    <s v="Missed"/>
  </r>
  <r>
    <s v="CUST0275"/>
    <n v="23"/>
    <n v="189358"/>
    <n v="823"/>
    <x v="2"/>
    <n v="0.28574917006145401"/>
    <x v="1"/>
    <n v="0"/>
    <n v="0"/>
    <n v="2687"/>
    <n v="0.14322922061742199"/>
    <s v="Low DTI"/>
    <x v="0"/>
    <n v="6"/>
    <x v="0"/>
    <s v="Los Angeles"/>
    <s v="Late"/>
    <s v="On-time"/>
    <s v="On-time"/>
    <x v="0"/>
    <s v="Late"/>
    <s v="Late"/>
  </r>
  <r>
    <s v="CUST0276"/>
    <n v="39"/>
    <n v="101188"/>
    <n v="694"/>
    <x v="1"/>
    <n v="0.50117046734507498"/>
    <x v="0"/>
    <n v="5"/>
    <n v="1"/>
    <n v="23685"/>
    <n v="0.258551027412743"/>
    <s v="Low DTI"/>
    <x v="0"/>
    <n v="9"/>
    <x v="4"/>
    <s v="Phoenix"/>
    <s v="Late"/>
    <s v="Late"/>
    <s v="On-time"/>
    <x v="0"/>
    <s v="On-time"/>
    <s v="Missed"/>
  </r>
  <r>
    <s v="CUST0277"/>
    <n v="28"/>
    <n v="107658"/>
    <n v="421"/>
    <x v="0"/>
    <n v="0.81274712320995901"/>
    <x v="2"/>
    <n v="3"/>
    <n v="0"/>
    <n v="77719"/>
    <n v="0.12780270358672799"/>
    <s v="Low DTI"/>
    <x v="2"/>
    <n v="16"/>
    <x v="1"/>
    <s v="Chicago"/>
    <s v="On-time"/>
    <s v="Missed"/>
    <s v="Missed"/>
    <x v="0"/>
    <s v="Missed"/>
    <s v="On-time"/>
  </r>
  <r>
    <s v="CUST0278"/>
    <n v="65"/>
    <n v="54749"/>
    <n v="407"/>
    <x v="0"/>
    <n v="0.249950700375936"/>
    <x v="1"/>
    <n v="4"/>
    <n v="0"/>
    <n v="44439"/>
    <n v="0.33623184587355498"/>
    <s v="Moderate DTI"/>
    <x v="0"/>
    <n v="14"/>
    <x v="0"/>
    <s v="Phoenix"/>
    <s v="Missed"/>
    <s v="Missed"/>
    <s v="On-time"/>
    <x v="2"/>
    <s v="On-time"/>
    <s v="Late"/>
  </r>
  <r>
    <s v="CUST0279"/>
    <n v="33"/>
    <n v="107658"/>
    <n v="418"/>
    <x v="0"/>
    <n v="0.36450486860056702"/>
    <x v="0"/>
    <n v="5"/>
    <n v="0"/>
    <n v="37905"/>
    <n v="0.28560416062119798"/>
    <s v="Low DTI"/>
    <x v="2"/>
    <n v="17"/>
    <x v="2"/>
    <s v="Houston"/>
    <s v="Missed"/>
    <s v="On-time"/>
    <s v="Late"/>
    <x v="1"/>
    <s v="Missed"/>
    <s v="On-time"/>
  </r>
  <r>
    <s v="CUST0280"/>
    <n v="50"/>
    <n v="65990"/>
    <n v="622"/>
    <x v="1"/>
    <n v="0.63434945821545796"/>
    <x v="0"/>
    <n v="2"/>
    <n v="0"/>
    <n v="99005"/>
    <n v="0.320299211293607"/>
    <s v="Moderate DTI"/>
    <x v="0"/>
    <n v="18"/>
    <x v="0"/>
    <s v="Los Angeles"/>
    <s v="Missed"/>
    <s v="Missed"/>
    <s v="Missed"/>
    <x v="1"/>
    <s v="Late"/>
    <s v="Missed"/>
  </r>
  <r>
    <s v="CUST0281"/>
    <n v="26"/>
    <n v="42350"/>
    <n v="825"/>
    <x v="2"/>
    <n v="0.57878239464723003"/>
    <x v="0"/>
    <n v="1"/>
    <n v="0"/>
    <n v="46813"/>
    <n v="0.31531225625910703"/>
    <s v="Moderate DTI"/>
    <x v="0"/>
    <n v="1"/>
    <x v="3"/>
    <s v="Phoenix"/>
    <s v="Late"/>
    <s v="Late"/>
    <s v="Late"/>
    <x v="1"/>
    <s v="Missed"/>
    <s v="Late"/>
  </r>
  <r>
    <s v="CUST0282"/>
    <n v="23"/>
    <n v="42350"/>
    <n v="823"/>
    <x v="2"/>
    <n v="0.324994918468751"/>
    <x v="0"/>
    <n v="3"/>
    <n v="1"/>
    <n v="45776"/>
    <n v="0.39907082537035099"/>
    <s v="Moderate DTI"/>
    <x v="2"/>
    <n v="3"/>
    <x v="4"/>
    <s v="Los Angeles"/>
    <s v="On-time"/>
    <s v="Missed"/>
    <s v="Missed"/>
    <x v="0"/>
    <s v="Late"/>
    <s v="Missed"/>
  </r>
  <r>
    <s v="CUST0283"/>
    <n v="33"/>
    <n v="116570"/>
    <n v="452"/>
    <x v="0"/>
    <n v="0.416761199453971"/>
    <x v="0"/>
    <n v="2"/>
    <n v="0"/>
    <n v="50989"/>
    <n v="0.353813296456846"/>
    <s v="Moderate DTI"/>
    <x v="0"/>
    <n v="2"/>
    <x v="4"/>
    <s v="Chicago"/>
    <s v="Missed"/>
    <s v="On-time"/>
    <s v="Missed"/>
    <x v="2"/>
    <s v="Late"/>
    <s v="Missed"/>
  </r>
  <r>
    <s v="CUST0284"/>
    <n v="46"/>
    <n v="159572"/>
    <n v="724"/>
    <x v="1"/>
    <n v="0.26384358746993197"/>
    <x v="1"/>
    <n v="4"/>
    <n v="1"/>
    <n v="74433"/>
    <n v="0.38305079576600798"/>
    <s v="Moderate DTI"/>
    <x v="0"/>
    <n v="6"/>
    <x v="4"/>
    <s v="New York"/>
    <s v="On-time"/>
    <s v="On-time"/>
    <s v="On-time"/>
    <x v="2"/>
    <s v="Late"/>
    <s v="Missed"/>
  </r>
  <r>
    <s v="CUST0285"/>
    <n v="20"/>
    <n v="116570"/>
    <n v="739"/>
    <x v="1"/>
    <n v="0.696096999904114"/>
    <x v="0"/>
    <n v="6"/>
    <n v="0"/>
    <n v="52331"/>
    <n v="0.19344653101030501"/>
    <s v="Low DTI"/>
    <x v="3"/>
    <n v="17"/>
    <x v="4"/>
    <s v="Phoenix"/>
    <s v="Late"/>
    <s v="Late"/>
    <s v="On-time"/>
    <x v="0"/>
    <s v="Late"/>
    <s v="Missed"/>
  </r>
  <r>
    <s v="CUST0286"/>
    <n v="37"/>
    <n v="190333"/>
    <n v="700"/>
    <x v="1"/>
    <n v="0.44882372846589302"/>
    <x v="0"/>
    <n v="0"/>
    <n v="0"/>
    <n v="41958"/>
    <n v="0.41931708649751398"/>
    <s v="Moderate DTI"/>
    <x v="0"/>
    <n v="9"/>
    <x v="4"/>
    <s v="Phoenix"/>
    <s v="Late"/>
    <s v="Missed"/>
    <s v="On-time"/>
    <x v="2"/>
    <s v="Late"/>
    <s v="On-time"/>
  </r>
  <r>
    <s v="CUST0287"/>
    <n v="53"/>
    <n v="32955"/>
    <n v="482"/>
    <x v="0"/>
    <n v="0.85843118215212599"/>
    <x v="2"/>
    <n v="4"/>
    <n v="1"/>
    <n v="45089"/>
    <n v="0.22776372605110001"/>
    <s v="Low DTI"/>
    <x v="0"/>
    <n v="6"/>
    <x v="4"/>
    <s v="Los Angeles"/>
    <s v="Missed"/>
    <s v="Missed"/>
    <s v="Late"/>
    <x v="0"/>
    <s v="Late"/>
    <s v="Missed"/>
  </r>
  <r>
    <s v="CUST0288"/>
    <n v="36"/>
    <n v="141131"/>
    <n v="385"/>
    <x v="0"/>
    <n v="0.51622004880800398"/>
    <x v="0"/>
    <n v="5"/>
    <n v="0"/>
    <n v="63375"/>
    <n v="0.23351304573760101"/>
    <s v="Low DTI"/>
    <x v="0"/>
    <n v="7"/>
    <x v="1"/>
    <s v="Chicago"/>
    <s v="On-time"/>
    <s v="Missed"/>
    <s v="Late"/>
    <x v="2"/>
    <s v="On-time"/>
    <s v="On-time"/>
  </r>
  <r>
    <s v="CUST0289"/>
    <n v="43"/>
    <n v="68682"/>
    <n v="579"/>
    <x v="0"/>
    <n v="0.456051939319424"/>
    <x v="0"/>
    <n v="1"/>
    <n v="0"/>
    <n v="86965"/>
    <n v="0.32708425773529898"/>
    <s v="Moderate DTI"/>
    <x v="3"/>
    <n v="5"/>
    <x v="2"/>
    <s v="Houston"/>
    <s v="Missed"/>
    <s v="On-time"/>
    <s v="Late"/>
    <x v="0"/>
    <s v="On-time"/>
    <s v="Missed"/>
  </r>
  <r>
    <s v="CUST0290"/>
    <n v="20"/>
    <n v="16062"/>
    <n v="658"/>
    <x v="1"/>
    <n v="0.43663564774163999"/>
    <x v="0"/>
    <n v="5"/>
    <n v="0"/>
    <n v="67673"/>
    <n v="0.33019182630492699"/>
    <s v="Moderate DTI"/>
    <x v="1"/>
    <n v="0"/>
    <x v="4"/>
    <s v="Chicago"/>
    <s v="Late"/>
    <s v="On-time"/>
    <s v="On-time"/>
    <x v="1"/>
    <s v="Late"/>
    <s v="On-time"/>
  </r>
  <r>
    <s v="CUST0291"/>
    <n v="36"/>
    <n v="107658"/>
    <n v="836"/>
    <x v="2"/>
    <n v="0.45116003296151402"/>
    <x v="0"/>
    <n v="3"/>
    <n v="0"/>
    <n v="70406"/>
    <n v="0.19281431977675201"/>
    <s v="Low DTI"/>
    <x v="0"/>
    <n v="3"/>
    <x v="2"/>
    <s v="Phoenix"/>
    <s v="Late"/>
    <s v="Late"/>
    <s v="Late"/>
    <x v="0"/>
    <s v="Late"/>
    <s v="Late"/>
  </r>
  <r>
    <s v="CUST0292"/>
    <n v="37"/>
    <n v="155734"/>
    <n v="315"/>
    <x v="0"/>
    <n v="0.52216421902676002"/>
    <x v="0"/>
    <n v="3"/>
    <n v="0"/>
    <n v="84521"/>
    <n v="0.28267207082260998"/>
    <s v="Low DTI"/>
    <x v="3"/>
    <n v="13"/>
    <x v="4"/>
    <s v="Houston"/>
    <s v="Missed"/>
    <s v="Late"/>
    <s v="Missed"/>
    <x v="2"/>
    <s v="Missed"/>
    <s v="Missed"/>
  </r>
  <r>
    <s v="CUST0293"/>
    <n v="49"/>
    <n v="38061"/>
    <n v="316"/>
    <x v="0"/>
    <n v="1.0024815153156601"/>
    <x v="2"/>
    <n v="1"/>
    <n v="0"/>
    <n v="95267"/>
    <n v="0.448823531686947"/>
    <s v="Moderate DTI"/>
    <x v="0"/>
    <n v="16"/>
    <x v="0"/>
    <s v="Chicago"/>
    <s v="Late"/>
    <s v="Late"/>
    <s v="Late"/>
    <x v="0"/>
    <s v="Missed"/>
    <s v="Missed"/>
  </r>
  <r>
    <s v="CUST0294"/>
    <n v="24"/>
    <n v="107658"/>
    <n v="436"/>
    <x v="0"/>
    <n v="0.43222806598012797"/>
    <x v="0"/>
    <n v="2"/>
    <n v="0"/>
    <n v="45595"/>
    <n v="0.15316634384659"/>
    <s v="Low DTI"/>
    <x v="0"/>
    <n v="19"/>
    <x v="4"/>
    <s v="New York"/>
    <s v="Late"/>
    <s v="Late"/>
    <s v="On-time"/>
    <x v="1"/>
    <s v="On-time"/>
    <s v="Missed"/>
  </r>
  <r>
    <s v="CUST0295"/>
    <n v="69"/>
    <n v="43251"/>
    <n v="515"/>
    <x v="0"/>
    <n v="0.43872930784573799"/>
    <x v="0"/>
    <n v="2"/>
    <n v="1"/>
    <n v="52331"/>
    <n v="0.44852192410127201"/>
    <s v="Moderate DTI"/>
    <x v="0"/>
    <n v="17"/>
    <x v="3"/>
    <s v="Los Angeles"/>
    <s v="Missed"/>
    <s v="Missed"/>
    <s v="On-time"/>
    <x v="0"/>
    <s v="Late"/>
    <s v="On-time"/>
  </r>
  <r>
    <s v="CUST0296"/>
    <n v="58"/>
    <n v="90353"/>
    <n v="658"/>
    <x v="1"/>
    <n v="0.51311876913663501"/>
    <x v="0"/>
    <n v="3"/>
    <n v="0"/>
    <n v="82714"/>
    <n v="0.275830154858351"/>
    <s v="Low DTI"/>
    <x v="0"/>
    <n v="10"/>
    <x v="1"/>
    <s v="Chicago"/>
    <s v="Missed"/>
    <s v="Missed"/>
    <s v="Late"/>
    <x v="1"/>
    <s v="Late"/>
    <s v="Missed"/>
  </r>
  <r>
    <s v="CUST0297"/>
    <n v="50"/>
    <n v="81234"/>
    <n v="310"/>
    <x v="0"/>
    <n v="0.71805490126885196"/>
    <x v="2"/>
    <n v="3"/>
    <n v="0"/>
    <n v="79552"/>
    <n v="0.1"/>
    <s v="Low DTI"/>
    <x v="1"/>
    <n v="13"/>
    <x v="0"/>
    <s v="Chicago"/>
    <s v="On-time"/>
    <s v="On-time"/>
    <s v="On-time"/>
    <x v="2"/>
    <s v="Missed"/>
    <s v="On-time"/>
  </r>
  <r>
    <s v="CUST0298"/>
    <n v="57"/>
    <n v="19835"/>
    <n v="793"/>
    <x v="2"/>
    <n v="0.21580308778544399"/>
    <x v="1"/>
    <n v="6"/>
    <n v="0"/>
    <n v="41653"/>
    <n v="0.163326826651709"/>
    <s v="Low DTI"/>
    <x v="2"/>
    <n v="8"/>
    <x v="0"/>
    <s v="New York"/>
    <s v="Late"/>
    <s v="On-time"/>
    <s v="Late"/>
    <x v="2"/>
    <s v="Missed"/>
    <s v="Missed"/>
  </r>
  <r>
    <s v="CUST0299"/>
    <n v="56"/>
    <n v="107658"/>
    <n v="673"/>
    <x v="1"/>
    <n v="0.59101854738192905"/>
    <x v="0"/>
    <n v="0"/>
    <n v="1"/>
    <n v="89660"/>
    <n v="0.20365224622648001"/>
    <s v="Low DTI"/>
    <x v="3"/>
    <n v="14"/>
    <x v="3"/>
    <s v="Phoenix"/>
    <s v="Late"/>
    <s v="Missed"/>
    <s v="On-time"/>
    <x v="0"/>
    <s v="Missed"/>
    <s v="On-time"/>
  </r>
  <r>
    <s v="CUST0300"/>
    <n v="35"/>
    <n v="107658"/>
    <n v="321"/>
    <x v="0"/>
    <n v="0.33651496479576698"/>
    <x v="0"/>
    <n v="6"/>
    <n v="0"/>
    <n v="62342"/>
    <n v="0.23760706992172501"/>
    <s v="Low DTI"/>
    <x v="0"/>
    <n v="11"/>
    <x v="4"/>
    <s v="Los Angeles"/>
    <s v="Missed"/>
    <s v="Late"/>
    <s v="Late"/>
    <x v="0"/>
    <s v="Missed"/>
    <s v="On-time"/>
  </r>
  <r>
    <s v="CUST0301"/>
    <n v="57"/>
    <n v="159188"/>
    <n v="415"/>
    <x v="0"/>
    <n v="0.61065453779018897"/>
    <x v="0"/>
    <n v="6"/>
    <n v="0"/>
    <n v="52259"/>
    <n v="0.28952867413746602"/>
    <s v="Low DTI"/>
    <x v="0"/>
    <n v="9"/>
    <x v="1"/>
    <s v="Chicago"/>
    <s v="Missed"/>
    <s v="Late"/>
    <s v="Late"/>
    <x v="1"/>
    <s v="On-time"/>
    <s v="Late"/>
  </r>
  <r>
    <s v="CUST0302"/>
    <n v="18"/>
    <n v="70479"/>
    <n v="834"/>
    <x v="2"/>
    <n v="0.40124801152790801"/>
    <x v="0"/>
    <n v="2"/>
    <n v="0"/>
    <n v="82789"/>
    <n v="0.1"/>
    <s v="Low DTI"/>
    <x v="1"/>
    <n v="18"/>
    <x v="0"/>
    <s v="Houston"/>
    <s v="Missed"/>
    <s v="Late"/>
    <s v="Late"/>
    <x v="0"/>
    <s v="Missed"/>
    <s v="Late"/>
  </r>
  <r>
    <s v="CUST0303"/>
    <n v="28"/>
    <n v="119573"/>
    <n v="700"/>
    <x v="1"/>
    <n v="0.05"/>
    <x v="1"/>
    <n v="1"/>
    <n v="0"/>
    <n v="52217"/>
    <n v="0.31868043924776501"/>
    <s v="Moderate DTI"/>
    <x v="0"/>
    <n v="18"/>
    <x v="1"/>
    <s v="Chicago"/>
    <s v="Missed"/>
    <s v="Late"/>
    <s v="Late"/>
    <x v="1"/>
    <s v="On-time"/>
    <s v="Missed"/>
  </r>
  <r>
    <s v="CUST0304"/>
    <n v="45"/>
    <n v="81234"/>
    <n v="584"/>
    <x v="0"/>
    <n v="0.57391552053749695"/>
    <x v="0"/>
    <n v="2"/>
    <n v="0"/>
    <n v="9859"/>
    <n v="0.194490949167511"/>
    <s v="Low DTI"/>
    <x v="0"/>
    <n v="5"/>
    <x v="0"/>
    <s v="Los Angeles"/>
    <s v="Late"/>
    <s v="Late"/>
    <s v="Missed"/>
    <x v="1"/>
    <s v="Missed"/>
    <s v="Late"/>
  </r>
  <r>
    <s v="CUST0305"/>
    <n v="74"/>
    <n v="149415"/>
    <n v="591"/>
    <x v="0"/>
    <n v="0.57222895406937302"/>
    <x v="0"/>
    <n v="0"/>
    <n v="0"/>
    <n v="52217"/>
    <n v="0.43905225716010499"/>
    <s v="Moderate DTI"/>
    <x v="0"/>
    <n v="19"/>
    <x v="4"/>
    <s v="Chicago"/>
    <s v="Late"/>
    <s v="Missed"/>
    <s v="On-time"/>
    <x v="2"/>
    <s v="On-time"/>
    <s v="Late"/>
  </r>
  <r>
    <s v="CUST0306"/>
    <n v="42"/>
    <n v="136465"/>
    <n v="595"/>
    <x v="0"/>
    <n v="0.38418393830411401"/>
    <x v="0"/>
    <n v="5"/>
    <n v="0"/>
    <n v="75316"/>
    <n v="0.27298232792560201"/>
    <s v="Low DTI"/>
    <x v="0"/>
    <n v="5"/>
    <x v="0"/>
    <s v="New York"/>
    <s v="Late"/>
    <s v="Late"/>
    <s v="Late"/>
    <x v="2"/>
    <s v="Missed"/>
    <s v="On-time"/>
  </r>
  <r>
    <s v="CUST0307"/>
    <n v="67"/>
    <n v="53494"/>
    <n v="591"/>
    <x v="0"/>
    <n v="0.372331227971399"/>
    <x v="0"/>
    <n v="3"/>
    <n v="0"/>
    <n v="12176"/>
    <n v="0.39428461717327201"/>
    <s v="Moderate DTI"/>
    <x v="1"/>
    <n v="7"/>
    <x v="0"/>
    <s v="Chicago"/>
    <s v="On-time"/>
    <s v="On-time"/>
    <s v="Late"/>
    <x v="1"/>
    <s v="Late"/>
    <s v="On-time"/>
  </r>
  <r>
    <s v="CUST0308"/>
    <n v="40"/>
    <n v="107658"/>
    <n v="307"/>
    <x v="0"/>
    <n v="0.237725454982469"/>
    <x v="1"/>
    <n v="3"/>
    <n v="0"/>
    <n v="71588"/>
    <n v="0.411034897991429"/>
    <s v="Moderate DTI"/>
    <x v="3"/>
    <n v="0"/>
    <x v="2"/>
    <s v="Chicago"/>
    <s v="Missed"/>
    <s v="Late"/>
    <s v="On-time"/>
    <x v="1"/>
    <s v="Missed"/>
    <s v="Missed"/>
  </r>
  <r>
    <s v="CUST0309"/>
    <n v="48"/>
    <n v="70479"/>
    <n v="385"/>
    <x v="0"/>
    <n v="0.65461998830777401"/>
    <x v="0"/>
    <n v="0"/>
    <n v="1"/>
    <n v="99005"/>
    <n v="0.408327324346621"/>
    <s v="Moderate DTI"/>
    <x v="3"/>
    <n v="16"/>
    <x v="4"/>
    <s v="Houston"/>
    <s v="Missed"/>
    <s v="Late"/>
    <s v="On-time"/>
    <x v="0"/>
    <s v="Late"/>
    <s v="On-time"/>
  </r>
  <r>
    <s v="CUST0310"/>
    <n v="47"/>
    <n v="90697"/>
    <n v="682"/>
    <x v="1"/>
    <n v="0.67644315649336095"/>
    <x v="0"/>
    <n v="6"/>
    <n v="1"/>
    <n v="46720"/>
    <n v="0.24335932570375099"/>
    <s v="Low DTI"/>
    <x v="0"/>
    <n v="16"/>
    <x v="3"/>
    <s v="New York"/>
    <s v="Late"/>
    <s v="Missed"/>
    <s v="Missed"/>
    <x v="0"/>
    <s v="On-time"/>
    <s v="Late"/>
  </r>
  <r>
    <s v="CUST0311"/>
    <n v="59"/>
    <n v="19835"/>
    <n v="374"/>
    <x v="0"/>
    <n v="0.32418982296482202"/>
    <x v="0"/>
    <n v="1"/>
    <n v="0"/>
    <n v="82909"/>
    <n v="0.242079984227867"/>
    <s v="Low DTI"/>
    <x v="0"/>
    <n v="14"/>
    <x v="3"/>
    <s v="New York"/>
    <s v="Late"/>
    <s v="Late"/>
    <s v="On-time"/>
    <x v="1"/>
    <s v="Late"/>
    <s v="On-time"/>
  </r>
  <r>
    <s v="CUST0312"/>
    <n v="52"/>
    <n v="176426"/>
    <n v="320"/>
    <x v="0"/>
    <n v="0.392013108092229"/>
    <x v="0"/>
    <n v="3"/>
    <n v="1"/>
    <n v="31674"/>
    <n v="0.27750267007116802"/>
    <s v="Low DTI"/>
    <x v="0"/>
    <n v="6"/>
    <x v="4"/>
    <s v="Chicago"/>
    <s v="Missed"/>
    <s v="Late"/>
    <s v="Missed"/>
    <x v="1"/>
    <s v="Late"/>
    <s v="Missed"/>
  </r>
  <r>
    <s v="CUST0313"/>
    <n v="24"/>
    <n v="194208"/>
    <n v="321"/>
    <x v="0"/>
    <n v="0.48734217577220701"/>
    <x v="0"/>
    <n v="4"/>
    <n v="0"/>
    <n v="62253"/>
    <n v="0.36362373753789201"/>
    <s v="Moderate DTI"/>
    <x v="2"/>
    <n v="18"/>
    <x v="3"/>
    <s v="Houston"/>
    <s v="Missed"/>
    <s v="On-time"/>
    <s v="On-time"/>
    <x v="2"/>
    <s v="Late"/>
    <s v="Late"/>
  </r>
  <r>
    <s v="CUST0314"/>
    <n v="33"/>
    <n v="181267"/>
    <n v="494"/>
    <x v="0"/>
    <n v="0.95417305620710902"/>
    <x v="2"/>
    <n v="6"/>
    <n v="0"/>
    <n v="15938"/>
    <n v="0.24893047302458299"/>
    <s v="Low DTI"/>
    <x v="3"/>
    <n v="2"/>
    <x v="4"/>
    <s v="Chicago"/>
    <s v="On-time"/>
    <s v="Missed"/>
    <s v="Late"/>
    <x v="2"/>
    <s v="Late"/>
    <s v="On-time"/>
  </r>
  <r>
    <s v="CUST0315"/>
    <n v="43"/>
    <n v="77292"/>
    <n v="316"/>
    <x v="0"/>
    <n v="0.60902434951778595"/>
    <x v="0"/>
    <n v="3"/>
    <n v="0"/>
    <n v="612"/>
    <n v="0.28807375264097501"/>
    <s v="Low DTI"/>
    <x v="0"/>
    <n v="10"/>
    <x v="3"/>
    <s v="Chicago"/>
    <s v="Late"/>
    <s v="Late"/>
    <s v="Missed"/>
    <x v="1"/>
    <s v="Late"/>
    <s v="Late"/>
  </r>
  <r>
    <s v="CUST0316"/>
    <n v="65"/>
    <n v="32019"/>
    <n v="419"/>
    <x v="0"/>
    <n v="0.31131689699832399"/>
    <x v="0"/>
    <n v="4"/>
    <n v="0"/>
    <n v="13355"/>
    <n v="0.32735938163394401"/>
    <s v="Moderate DTI"/>
    <x v="2"/>
    <n v="19"/>
    <x v="2"/>
    <s v="Los Angeles"/>
    <s v="Late"/>
    <s v="On-time"/>
    <s v="Late"/>
    <x v="2"/>
    <s v="On-time"/>
    <s v="On-time"/>
  </r>
  <r>
    <s v="CUST0317"/>
    <n v="74"/>
    <n v="102235"/>
    <n v="557"/>
    <x v="0"/>
    <n v="0.56075606189810101"/>
    <x v="0"/>
    <n v="0"/>
    <n v="0"/>
    <n v="10778"/>
    <n v="0.20951080739521299"/>
    <s v="Low DTI"/>
    <x v="0"/>
    <n v="18"/>
    <x v="3"/>
    <s v="Los Angeles"/>
    <s v="On-time"/>
    <s v="On-time"/>
    <s v="Late"/>
    <x v="1"/>
    <s v="Missed"/>
    <s v="On-time"/>
  </r>
  <r>
    <s v="CUST0318"/>
    <n v="69"/>
    <n v="120891"/>
    <n v="749"/>
    <x v="1"/>
    <n v="0.224661691872383"/>
    <x v="1"/>
    <n v="0"/>
    <n v="1"/>
    <n v="66118"/>
    <n v="0.20318917116708801"/>
    <s v="Low DTI"/>
    <x v="1"/>
    <n v="8"/>
    <x v="0"/>
    <s v="Houston"/>
    <s v="On-time"/>
    <s v="Late"/>
    <s v="On-time"/>
    <x v="2"/>
    <s v="Missed"/>
    <s v="Late"/>
  </r>
  <r>
    <s v="CUST0319"/>
    <n v="66"/>
    <n v="33017"/>
    <n v="625"/>
    <x v="1"/>
    <n v="0.64359806198323399"/>
    <x v="0"/>
    <n v="6"/>
    <n v="0"/>
    <n v="30443"/>
    <n v="0.28417361185959999"/>
    <s v="Low DTI"/>
    <x v="3"/>
    <n v="9"/>
    <x v="4"/>
    <s v="Phoenix"/>
    <s v="Missed"/>
    <s v="Missed"/>
    <s v="Missed"/>
    <x v="0"/>
    <s v="On-time"/>
    <s v="On-time"/>
  </r>
  <r>
    <s v="CUST0320"/>
    <n v="19"/>
    <n v="53765"/>
    <n v="446"/>
    <x v="0"/>
    <n v="0.83510947870889696"/>
    <x v="2"/>
    <n v="3"/>
    <n v="1"/>
    <n v="86846"/>
    <n v="0.29741788149516402"/>
    <s v="Low DTI"/>
    <x v="0"/>
    <n v="1"/>
    <x v="1"/>
    <s v="Los Angeles"/>
    <s v="Late"/>
    <s v="Missed"/>
    <s v="On-time"/>
    <x v="2"/>
    <s v="Missed"/>
    <s v="On-time"/>
  </r>
  <r>
    <s v="CUST0321"/>
    <n v="18"/>
    <n v="53513"/>
    <n v="391"/>
    <x v="0"/>
    <n v="0.83595833701679101"/>
    <x v="2"/>
    <n v="2"/>
    <n v="0"/>
    <n v="82382"/>
    <n v="0.343388548000164"/>
    <s v="Moderate DTI"/>
    <x v="2"/>
    <n v="0"/>
    <x v="1"/>
    <s v="Phoenix"/>
    <s v="Missed"/>
    <s v="On-time"/>
    <s v="Late"/>
    <x v="1"/>
    <s v="Missed"/>
    <s v="Late"/>
  </r>
  <r>
    <s v="CUST0322"/>
    <n v="65"/>
    <n v="184160"/>
    <n v="316"/>
    <x v="0"/>
    <n v="0.64697870069486696"/>
    <x v="0"/>
    <n v="4"/>
    <n v="0"/>
    <n v="95303"/>
    <n v="0.367188657495155"/>
    <s v="Moderate DTI"/>
    <x v="3"/>
    <n v="15"/>
    <x v="4"/>
    <s v="New York"/>
    <s v="Late"/>
    <s v="On-time"/>
    <s v="On-time"/>
    <x v="0"/>
    <s v="Late"/>
    <s v="On-time"/>
  </r>
  <r>
    <s v="CUST0323"/>
    <n v="29"/>
    <n v="70393"/>
    <n v="715"/>
    <x v="1"/>
    <n v="0.38331752882637399"/>
    <x v="0"/>
    <n v="1"/>
    <n v="0"/>
    <n v="87110"/>
    <n v="0.190093717942835"/>
    <s v="Low DTI"/>
    <x v="0"/>
    <n v="17"/>
    <x v="2"/>
    <s v="Los Angeles"/>
    <s v="Missed"/>
    <s v="On-time"/>
    <s v="Missed"/>
    <x v="1"/>
    <s v="Missed"/>
    <s v="On-time"/>
  </r>
  <r>
    <s v="CUST0324"/>
    <n v="22"/>
    <n v="193352"/>
    <n v="471"/>
    <x v="0"/>
    <n v="0.23981964869717401"/>
    <x v="1"/>
    <n v="3"/>
    <n v="0"/>
    <n v="80430"/>
    <n v="0.21879150680564299"/>
    <s v="Low DTI"/>
    <x v="1"/>
    <n v="16"/>
    <x v="3"/>
    <s v="Los Angeles"/>
    <s v="On-time"/>
    <s v="On-time"/>
    <s v="On-time"/>
    <x v="2"/>
    <s v="Missed"/>
    <s v="On-time"/>
  </r>
  <r>
    <s v="CUST0325"/>
    <n v="54"/>
    <n v="137402"/>
    <n v="358"/>
    <x v="0"/>
    <n v="0.21995899132617799"/>
    <x v="1"/>
    <n v="1"/>
    <n v="0"/>
    <n v="32615"/>
    <n v="0.20292477124368899"/>
    <s v="Low DTI"/>
    <x v="2"/>
    <n v="5"/>
    <x v="2"/>
    <s v="Houston"/>
    <s v="Missed"/>
    <s v="On-time"/>
    <s v="Missed"/>
    <x v="0"/>
    <s v="On-time"/>
    <s v="Late"/>
  </r>
  <r>
    <s v="CUST0326"/>
    <n v="49"/>
    <n v="18709"/>
    <n v="534"/>
    <x v="0"/>
    <n v="0.05"/>
    <x v="1"/>
    <n v="3"/>
    <n v="0"/>
    <n v="62561"/>
    <n v="0.441244740159142"/>
    <s v="Moderate DTI"/>
    <x v="0"/>
    <n v="13"/>
    <x v="1"/>
    <s v="Phoenix"/>
    <s v="On-time"/>
    <s v="Missed"/>
    <s v="On-time"/>
    <x v="1"/>
    <s v="Missed"/>
    <s v="Missed"/>
  </r>
  <r>
    <s v="CUST0327"/>
    <n v="72"/>
    <n v="153311"/>
    <n v="696"/>
    <x v="1"/>
    <n v="0.63877115260158401"/>
    <x v="0"/>
    <n v="2"/>
    <n v="0"/>
    <n v="3081"/>
    <n v="0.28797294097974602"/>
    <s v="Low DTI"/>
    <x v="0"/>
    <n v="14"/>
    <x v="4"/>
    <s v="Los Angeles"/>
    <s v="Late"/>
    <s v="Late"/>
    <s v="Missed"/>
    <x v="2"/>
    <s v="Missed"/>
    <s v="Late"/>
  </r>
  <r>
    <s v="CUST0328"/>
    <n v="26"/>
    <n v="106267"/>
    <n v="471"/>
    <x v="0"/>
    <n v="0.47943289595512001"/>
    <x v="0"/>
    <n v="2"/>
    <n v="0"/>
    <n v="43927"/>
    <n v="0.30161292952450203"/>
    <s v="Moderate DTI"/>
    <x v="0"/>
    <n v="13"/>
    <x v="4"/>
    <s v="Los Angeles"/>
    <s v="Missed"/>
    <s v="Missed"/>
    <s v="Missed"/>
    <x v="0"/>
    <s v="Missed"/>
    <s v="Missed"/>
  </r>
  <r>
    <s v="CUST0329"/>
    <n v="58"/>
    <n v="179506"/>
    <n v="461"/>
    <x v="0"/>
    <n v="0.68184323329062502"/>
    <x v="0"/>
    <n v="6"/>
    <n v="0"/>
    <n v="32615"/>
    <n v="0.30577743640135102"/>
    <s v="Moderate DTI"/>
    <x v="2"/>
    <n v="2"/>
    <x v="2"/>
    <s v="Houston"/>
    <s v="On-time"/>
    <s v="Missed"/>
    <s v="Late"/>
    <x v="1"/>
    <s v="On-time"/>
    <s v="Late"/>
  </r>
  <r>
    <s v="CUST0330"/>
    <n v="52"/>
    <n v="26174"/>
    <n v="556"/>
    <x v="0"/>
    <n v="0.78560629704695695"/>
    <x v="2"/>
    <n v="6"/>
    <n v="0"/>
    <n v="92183"/>
    <n v="0.22843299862823599"/>
    <s v="Low DTI"/>
    <x v="2"/>
    <n v="18"/>
    <x v="2"/>
    <s v="Houston"/>
    <s v="Late"/>
    <s v="On-time"/>
    <s v="On-time"/>
    <x v="0"/>
    <s v="On-time"/>
    <s v="On-time"/>
  </r>
  <r>
    <s v="CUST0331"/>
    <n v="36"/>
    <n v="43251"/>
    <n v="644"/>
    <x v="1"/>
    <n v="0.51998110878048198"/>
    <x v="0"/>
    <n v="2"/>
    <n v="0"/>
    <n v="39259"/>
    <n v="0.45642695189460297"/>
    <s v="Moderate DTI"/>
    <x v="0"/>
    <n v="11"/>
    <x v="3"/>
    <s v="Phoenix"/>
    <s v="On-time"/>
    <s v="Missed"/>
    <s v="Missed"/>
    <x v="2"/>
    <s v="Missed"/>
    <s v="Late"/>
  </r>
  <r>
    <s v="CUST0332"/>
    <n v="65"/>
    <n v="81234"/>
    <n v="326"/>
    <x v="0"/>
    <n v="0.52919232194263"/>
    <x v="0"/>
    <n v="5"/>
    <n v="0"/>
    <n v="17023"/>
    <n v="0.34110266548187201"/>
    <s v="Moderate DTI"/>
    <x v="0"/>
    <n v="1"/>
    <x v="0"/>
    <s v="New York"/>
    <s v="On-time"/>
    <s v="Late"/>
    <s v="Late"/>
    <x v="0"/>
    <s v="Missed"/>
    <s v="On-time"/>
  </r>
  <r>
    <s v="CUST0333"/>
    <n v="33"/>
    <n v="85640"/>
    <n v="522"/>
    <x v="0"/>
    <n v="0.407135931100506"/>
    <x v="0"/>
    <n v="2"/>
    <n v="0"/>
    <n v="80150"/>
    <n v="0.30395905297779402"/>
    <s v="Moderate DTI"/>
    <x v="0"/>
    <n v="2"/>
    <x v="0"/>
    <s v="New York"/>
    <s v="Missed"/>
    <s v="Late"/>
    <s v="Late"/>
    <x v="1"/>
    <s v="On-time"/>
    <s v="Late"/>
  </r>
  <r>
    <s v="CUST0334"/>
    <n v="20"/>
    <n v="67638"/>
    <n v="498"/>
    <x v="0"/>
    <n v="0.43078311656551799"/>
    <x v="0"/>
    <n v="0"/>
    <n v="0"/>
    <n v="27446"/>
    <n v="0.18947435788494299"/>
    <s v="Low DTI"/>
    <x v="0"/>
    <n v="17"/>
    <x v="3"/>
    <s v="Chicago"/>
    <s v="Missed"/>
    <s v="Late"/>
    <s v="On-time"/>
    <x v="2"/>
    <s v="On-time"/>
    <s v="Missed"/>
  </r>
  <r>
    <s v="CUST0335"/>
    <n v="37"/>
    <n v="81234"/>
    <n v="339"/>
    <x v="0"/>
    <n v="0.64569398249458598"/>
    <x v="0"/>
    <n v="0"/>
    <n v="1"/>
    <n v="91557"/>
    <n v="0.183806750834375"/>
    <s v="Low DTI"/>
    <x v="0"/>
    <n v="0"/>
    <x v="0"/>
    <s v="Los Angeles"/>
    <s v="On-time"/>
    <s v="On-time"/>
    <s v="Late"/>
    <x v="2"/>
    <s v="Missed"/>
    <s v="Late"/>
  </r>
  <r>
    <s v="CUST0336"/>
    <n v="41"/>
    <n v="159356"/>
    <n v="658"/>
    <x v="1"/>
    <n v="0.46512499392693701"/>
    <x v="0"/>
    <n v="5"/>
    <n v="0"/>
    <n v="44449"/>
    <n v="0.269109246839423"/>
    <s v="Low DTI"/>
    <x v="3"/>
    <n v="19"/>
    <x v="1"/>
    <s v="Phoenix"/>
    <s v="Missed"/>
    <s v="Missed"/>
    <s v="Late"/>
    <x v="1"/>
    <s v="Missed"/>
    <s v="Late"/>
  </r>
  <r>
    <s v="CUST0337"/>
    <n v="71"/>
    <n v="150230"/>
    <n v="627"/>
    <x v="1"/>
    <n v="0.43619846664943501"/>
    <x v="0"/>
    <n v="4"/>
    <n v="1"/>
    <n v="31316"/>
    <n v="0.23000082064281699"/>
    <s v="Low DTI"/>
    <x v="0"/>
    <n v="5"/>
    <x v="0"/>
    <s v="Los Angeles"/>
    <s v="On-time"/>
    <s v="Late"/>
    <s v="On-time"/>
    <x v="2"/>
    <s v="On-time"/>
    <s v="Late"/>
  </r>
  <r>
    <s v="CUST0338"/>
    <n v="73"/>
    <n v="120570"/>
    <n v="820"/>
    <x v="2"/>
    <n v="0.49633662811142898"/>
    <x v="0"/>
    <n v="1"/>
    <n v="0"/>
    <n v="61186"/>
    <n v="0.193255565445344"/>
    <s v="Low DTI"/>
    <x v="1"/>
    <n v="4"/>
    <x v="3"/>
    <s v="Phoenix"/>
    <s v="On-time"/>
    <s v="Missed"/>
    <s v="Late"/>
    <x v="0"/>
    <s v="On-time"/>
    <s v="Missed"/>
  </r>
  <r>
    <s v="CUST0339"/>
    <n v="50"/>
    <n v="117795"/>
    <n v="591"/>
    <x v="0"/>
    <n v="0.67726603921231798"/>
    <x v="0"/>
    <n v="3"/>
    <n v="1"/>
    <n v="51016"/>
    <n v="0.26290419804284398"/>
    <s v="Low DTI"/>
    <x v="2"/>
    <n v="0"/>
    <x v="0"/>
    <s v="Phoenix"/>
    <s v="Late"/>
    <s v="Missed"/>
    <s v="Missed"/>
    <x v="0"/>
    <s v="Missed"/>
    <s v="Late"/>
  </r>
  <r>
    <s v="CUST0340"/>
    <n v="41"/>
    <n v="62295"/>
    <n v="715"/>
    <x v="1"/>
    <n v="0.36146768843397897"/>
    <x v="0"/>
    <n v="3"/>
    <n v="1"/>
    <n v="86488"/>
    <n v="0.27835719717241098"/>
    <s v="Low DTI"/>
    <x v="1"/>
    <n v="18"/>
    <x v="4"/>
    <s v="Phoenix"/>
    <s v="Late"/>
    <s v="Late"/>
    <s v="On-time"/>
    <x v="1"/>
    <s v="Late"/>
    <s v="Missed"/>
  </r>
  <r>
    <s v="CUST0341"/>
    <n v="69"/>
    <n v="70479"/>
    <n v="361"/>
    <x v="0"/>
    <n v="0.486694296489593"/>
    <x v="0"/>
    <n v="5"/>
    <n v="0"/>
    <n v="11308"/>
    <n v="0.31417854204602602"/>
    <s v="Moderate DTI"/>
    <x v="3"/>
    <n v="0"/>
    <x v="2"/>
    <s v="Los Angeles"/>
    <s v="On-time"/>
    <s v="Late"/>
    <s v="Late"/>
    <x v="1"/>
    <s v="Late"/>
    <s v="Missed"/>
  </r>
  <r>
    <s v="CUST0342"/>
    <n v="28"/>
    <n v="166836"/>
    <n v="495"/>
    <x v="0"/>
    <n v="0.54905556755568596"/>
    <x v="0"/>
    <n v="0"/>
    <n v="0"/>
    <n v="62253"/>
    <n v="0.24960805286257301"/>
    <s v="Low DTI"/>
    <x v="3"/>
    <n v="15"/>
    <x v="1"/>
    <s v="Houston"/>
    <s v="Missed"/>
    <s v="Missed"/>
    <s v="On-time"/>
    <x v="0"/>
    <s v="Late"/>
    <s v="Missed"/>
  </r>
  <r>
    <s v="CUST0343"/>
    <n v="66"/>
    <n v="18267"/>
    <n v="541"/>
    <x v="0"/>
    <n v="0.73204438071704703"/>
    <x v="2"/>
    <n v="6"/>
    <n v="0"/>
    <n v="45776"/>
    <n v="0.199239930533996"/>
    <s v="Low DTI"/>
    <x v="0"/>
    <n v="11"/>
    <x v="4"/>
    <s v="Los Angeles"/>
    <s v="Late"/>
    <s v="On-time"/>
    <s v="Missed"/>
    <x v="0"/>
    <s v="Missed"/>
    <s v="On-time"/>
  </r>
  <r>
    <s v="CUST0344"/>
    <n v="25"/>
    <n v="118333"/>
    <n v="486"/>
    <x v="0"/>
    <n v="0.452140644640116"/>
    <x v="0"/>
    <n v="3"/>
    <n v="0"/>
    <n v="72809"/>
    <n v="0.20270791140087499"/>
    <s v="Low DTI"/>
    <x v="0"/>
    <n v="7"/>
    <x v="4"/>
    <s v="Phoenix"/>
    <s v="On-time"/>
    <s v="On-time"/>
    <s v="On-time"/>
    <x v="2"/>
    <s v="Missed"/>
    <s v="Late"/>
  </r>
  <r>
    <s v="CUST0345"/>
    <n v="53"/>
    <n v="119573"/>
    <n v="465"/>
    <x v="0"/>
    <n v="0.35643532278965501"/>
    <x v="0"/>
    <n v="0"/>
    <n v="0"/>
    <n v="89660"/>
    <n v="0.42129727292261798"/>
    <s v="Moderate DTI"/>
    <x v="0"/>
    <n v="15"/>
    <x v="3"/>
    <s v="Chicago"/>
    <s v="On-time"/>
    <s v="Missed"/>
    <s v="On-time"/>
    <x v="2"/>
    <s v="On-time"/>
    <s v="Late"/>
  </r>
  <r>
    <s v="CUST0346"/>
    <n v="55"/>
    <n v="136790"/>
    <n v="655"/>
    <x v="1"/>
    <n v="0.40312781114552798"/>
    <x v="0"/>
    <n v="4"/>
    <n v="0"/>
    <n v="42551"/>
    <n v="0.17482423136382499"/>
    <s v="Low DTI"/>
    <x v="0"/>
    <n v="0"/>
    <x v="2"/>
    <s v="New York"/>
    <s v="On-time"/>
    <s v="On-time"/>
    <s v="On-time"/>
    <x v="0"/>
    <s v="Missed"/>
    <s v="Missed"/>
  </r>
  <r>
    <s v="CUST0347"/>
    <n v="57"/>
    <n v="117023"/>
    <n v="700"/>
    <x v="1"/>
    <n v="0.71061148660307505"/>
    <x v="2"/>
    <n v="1"/>
    <n v="0"/>
    <n v="89537"/>
    <n v="0.33631822982912701"/>
    <s v="Moderate DTI"/>
    <x v="0"/>
    <n v="3"/>
    <x v="2"/>
    <s v="Phoenix"/>
    <s v="On-time"/>
    <s v="Late"/>
    <s v="Missed"/>
    <x v="1"/>
    <s v="Missed"/>
    <s v="Missed"/>
  </r>
  <r>
    <s v="CUST0348"/>
    <n v="37"/>
    <n v="112007"/>
    <n v="416"/>
    <x v="0"/>
    <n v="0.906661059720693"/>
    <x v="2"/>
    <n v="4"/>
    <n v="0"/>
    <n v="56061"/>
    <n v="0.35195463297743901"/>
    <s v="Moderate DTI"/>
    <x v="3"/>
    <n v="9"/>
    <x v="1"/>
    <s v="Chicago"/>
    <s v="Late"/>
    <s v="On-time"/>
    <s v="Late"/>
    <x v="2"/>
    <s v="Late"/>
    <s v="On-time"/>
  </r>
  <r>
    <s v="CUST0349"/>
    <n v="52"/>
    <n v="99665"/>
    <n v="789"/>
    <x v="2"/>
    <n v="0.23724843726279299"/>
    <x v="1"/>
    <n v="5"/>
    <n v="0"/>
    <n v="76567"/>
    <n v="0.287872452416433"/>
    <s v="Low DTI"/>
    <x v="1"/>
    <n v="10"/>
    <x v="3"/>
    <s v="Houston"/>
    <s v="Missed"/>
    <s v="On-time"/>
    <s v="Missed"/>
    <x v="1"/>
    <s v="On-time"/>
    <s v="On-time"/>
  </r>
  <r>
    <s v="CUST0350"/>
    <n v="65"/>
    <n v="38289"/>
    <n v="493"/>
    <x v="0"/>
    <n v="0.28093967698602801"/>
    <x v="1"/>
    <n v="2"/>
    <n v="0"/>
    <n v="79013"/>
    <n v="0.47678290584051702"/>
    <s v="Moderate DTI"/>
    <x v="1"/>
    <n v="16"/>
    <x v="1"/>
    <s v="Phoenix"/>
    <s v="On-time"/>
    <s v="Missed"/>
    <s v="Late"/>
    <x v="0"/>
    <s v="On-time"/>
    <s v="Late"/>
  </r>
  <r>
    <s v="CUST0351"/>
    <n v="42"/>
    <n v="167424"/>
    <n v="341"/>
    <x v="0"/>
    <n v="0.46624064265956999"/>
    <x v="0"/>
    <n v="2"/>
    <n v="1"/>
    <n v="52259"/>
    <n v="0.35017189930276899"/>
    <s v="Moderate DTI"/>
    <x v="1"/>
    <n v="6"/>
    <x v="0"/>
    <s v="Chicago"/>
    <s v="Missed"/>
    <s v="On-time"/>
    <s v="Late"/>
    <x v="2"/>
    <s v="Late"/>
    <s v="Missed"/>
  </r>
  <r>
    <s v="CUST0352"/>
    <n v="52"/>
    <n v="98613"/>
    <n v="820"/>
    <x v="2"/>
    <n v="0.522191219213608"/>
    <x v="0"/>
    <n v="2"/>
    <n v="0"/>
    <n v="2200"/>
    <n v="0.48429030483046498"/>
    <s v="Moderate DTI"/>
    <x v="1"/>
    <n v="11"/>
    <x v="4"/>
    <s v="Phoenix"/>
    <s v="Missed"/>
    <s v="Late"/>
    <s v="Late"/>
    <x v="0"/>
    <s v="Late"/>
    <s v="Missed"/>
  </r>
  <r>
    <s v="CUST0353"/>
    <n v="42"/>
    <n v="176426"/>
    <n v="736"/>
    <x v="1"/>
    <n v="0.65739391311099904"/>
    <x v="0"/>
    <n v="4"/>
    <n v="0"/>
    <n v="47695"/>
    <n v="0.23489359980851199"/>
    <s v="Low DTI"/>
    <x v="0"/>
    <n v="6"/>
    <x v="1"/>
    <s v="Los Angeles"/>
    <s v="Missed"/>
    <s v="Missed"/>
    <s v="Late"/>
    <x v="0"/>
    <s v="On-time"/>
    <s v="Missed"/>
  </r>
  <r>
    <s v="CUST0354"/>
    <n v="46"/>
    <n v="33017"/>
    <n v="622"/>
    <x v="1"/>
    <n v="0.32177339827970203"/>
    <x v="0"/>
    <n v="3"/>
    <n v="0"/>
    <n v="86828"/>
    <n v="0.23660545901065799"/>
    <s v="Low DTI"/>
    <x v="1"/>
    <n v="11"/>
    <x v="4"/>
    <s v="Chicago"/>
    <s v="On-time"/>
    <s v="Missed"/>
    <s v="On-time"/>
    <x v="1"/>
    <s v="Missed"/>
    <s v="Late"/>
  </r>
  <r>
    <s v="CUST0355"/>
    <n v="35"/>
    <n v="52744"/>
    <n v="700"/>
    <x v="1"/>
    <n v="0.287378192670107"/>
    <x v="1"/>
    <n v="1"/>
    <n v="0"/>
    <n v="24623"/>
    <n v="0.35275371586800103"/>
    <s v="Moderate DTI"/>
    <x v="0"/>
    <n v="14"/>
    <x v="3"/>
    <s v="Los Angeles"/>
    <s v="Missed"/>
    <s v="On-time"/>
    <s v="Missed"/>
    <x v="2"/>
    <s v="On-time"/>
    <s v="Late"/>
  </r>
  <r>
    <s v="CUST0356"/>
    <n v="63"/>
    <n v="149415"/>
    <n v="385"/>
    <x v="0"/>
    <n v="0.52761743062672595"/>
    <x v="0"/>
    <n v="2"/>
    <n v="1"/>
    <n v="4265"/>
    <n v="0.27385343626807901"/>
    <s v="Low DTI"/>
    <x v="0"/>
    <n v="1"/>
    <x v="0"/>
    <s v="Los Angeles"/>
    <s v="On-time"/>
    <s v="On-time"/>
    <s v="Missed"/>
    <x v="0"/>
    <s v="Missed"/>
    <s v="Late"/>
  </r>
  <r>
    <s v="CUST0357"/>
    <n v="35"/>
    <n v="32955"/>
    <n v="359"/>
    <x v="0"/>
    <n v="0.44831985595856599"/>
    <x v="0"/>
    <n v="5"/>
    <n v="1"/>
    <n v="77348"/>
    <n v="0.46856654248920099"/>
    <s v="Moderate DTI"/>
    <x v="1"/>
    <n v="13"/>
    <x v="3"/>
    <s v="Chicago"/>
    <s v="Missed"/>
    <s v="On-time"/>
    <s v="Missed"/>
    <x v="2"/>
    <s v="Late"/>
    <s v="Missed"/>
  </r>
  <r>
    <s v="CUST0358"/>
    <n v="19"/>
    <n v="36677"/>
    <n v="611"/>
    <x v="1"/>
    <n v="0.68534419955430503"/>
    <x v="0"/>
    <n v="5"/>
    <n v="1"/>
    <n v="11251"/>
    <n v="0.334170038363093"/>
    <s v="Moderate DTI"/>
    <x v="0"/>
    <n v="12"/>
    <x v="0"/>
    <s v="New York"/>
    <s v="Missed"/>
    <s v="On-time"/>
    <s v="Late"/>
    <x v="2"/>
    <s v="Late"/>
    <s v="On-time"/>
  </r>
  <r>
    <s v="CUST0359"/>
    <n v="71"/>
    <n v="198062"/>
    <n v="538"/>
    <x v="0"/>
    <n v="0.59747196063807595"/>
    <x v="0"/>
    <n v="2"/>
    <n v="0"/>
    <n v="25807"/>
    <n v="0.19554257801432801"/>
    <s v="Low DTI"/>
    <x v="2"/>
    <n v="3"/>
    <x v="0"/>
    <s v="Chicago"/>
    <s v="On-time"/>
    <s v="On-time"/>
    <s v="Missed"/>
    <x v="1"/>
    <s v="On-time"/>
    <s v="Missed"/>
  </r>
  <r>
    <s v="CUST0360"/>
    <n v="52"/>
    <n v="137402"/>
    <n v="617"/>
    <x v="1"/>
    <n v="0.61107586952664295"/>
    <x v="0"/>
    <n v="2"/>
    <n v="0"/>
    <n v="78035"/>
    <n v="0.126318359145597"/>
    <s v="Low DTI"/>
    <x v="2"/>
    <n v="13"/>
    <x v="4"/>
    <s v="New York"/>
    <s v="Missed"/>
    <s v="On-time"/>
    <s v="On-time"/>
    <x v="1"/>
    <s v="Late"/>
    <s v="Late"/>
  </r>
  <r>
    <s v="CUST0361"/>
    <n v="33"/>
    <n v="38524"/>
    <n v="311"/>
    <x v="0"/>
    <n v="0.47910373072462598"/>
    <x v="0"/>
    <n v="1"/>
    <n v="0"/>
    <n v="68998"/>
    <n v="0.292176140765673"/>
    <s v="Low DTI"/>
    <x v="2"/>
    <n v="13"/>
    <x v="3"/>
    <s v="Phoenix"/>
    <s v="On-time"/>
    <s v="Missed"/>
    <s v="Late"/>
    <x v="2"/>
    <s v="On-time"/>
    <s v="Missed"/>
  </r>
  <r>
    <s v="CUST0362"/>
    <n v="58"/>
    <n v="180421"/>
    <n v="679"/>
    <x v="1"/>
    <n v="0.97111605171364102"/>
    <x v="2"/>
    <n v="2"/>
    <n v="0"/>
    <n v="53553"/>
    <n v="0.29108768704667598"/>
    <s v="Low DTI"/>
    <x v="0"/>
    <n v="15"/>
    <x v="3"/>
    <s v="Phoenix"/>
    <s v="Late"/>
    <s v="Missed"/>
    <s v="Late"/>
    <x v="2"/>
    <s v="On-time"/>
    <s v="Late"/>
  </r>
  <r>
    <s v="CUST0363"/>
    <n v="53"/>
    <n v="107193"/>
    <n v="316"/>
    <x v="0"/>
    <n v="0.33245040368124801"/>
    <x v="0"/>
    <n v="1"/>
    <n v="1"/>
    <n v="86447"/>
    <n v="0.33137659233083799"/>
    <s v="Moderate DTI"/>
    <x v="1"/>
    <n v="6"/>
    <x v="1"/>
    <s v="Chicago"/>
    <s v="Missed"/>
    <s v="Missed"/>
    <s v="Missed"/>
    <x v="1"/>
    <s v="Late"/>
    <s v="Missed"/>
  </r>
  <r>
    <s v="CUST0364"/>
    <n v="50"/>
    <n v="21949"/>
    <n v="682"/>
    <x v="1"/>
    <n v="0.62216196675095503"/>
    <x v="0"/>
    <n v="5"/>
    <n v="0"/>
    <n v="31449"/>
    <n v="0.42106905737558997"/>
    <s v="Moderate DTI"/>
    <x v="3"/>
    <n v="18"/>
    <x v="3"/>
    <s v="Phoenix"/>
    <s v="Late"/>
    <s v="On-time"/>
    <s v="On-time"/>
    <x v="0"/>
    <s v="Missed"/>
    <s v="Late"/>
  </r>
  <r>
    <s v="CUST0365"/>
    <n v="21"/>
    <n v="34870"/>
    <n v="622"/>
    <x v="1"/>
    <n v="0.246062002585378"/>
    <x v="1"/>
    <n v="2"/>
    <n v="0"/>
    <n v="13761"/>
    <n v="0.40791133039939198"/>
    <s v="Moderate DTI"/>
    <x v="3"/>
    <n v="1"/>
    <x v="1"/>
    <s v="Houston"/>
    <s v="Missed"/>
    <s v="On-time"/>
    <s v="Late"/>
    <x v="0"/>
    <s v="On-time"/>
    <s v="Late"/>
  </r>
  <r>
    <s v="CUST0366"/>
    <n v="50"/>
    <n v="59811"/>
    <n v="475"/>
    <x v="0"/>
    <n v="0.285306464452109"/>
    <x v="1"/>
    <n v="4"/>
    <n v="0"/>
    <n v="23125"/>
    <n v="0.242109896766356"/>
    <s v="Low DTI"/>
    <x v="3"/>
    <n v="9"/>
    <x v="2"/>
    <s v="Los Angeles"/>
    <s v="Missed"/>
    <s v="On-time"/>
    <s v="Late"/>
    <x v="1"/>
    <s v="Missed"/>
    <s v="On-time"/>
  </r>
  <r>
    <s v="CUST0367"/>
    <n v="31"/>
    <n v="42350"/>
    <n v="389"/>
    <x v="0"/>
    <n v="0.37853088024690901"/>
    <x v="0"/>
    <n v="6"/>
    <n v="0"/>
    <n v="50310"/>
    <n v="0.17061805981955699"/>
    <s v="Low DTI"/>
    <x v="0"/>
    <n v="17"/>
    <x v="2"/>
    <s v="Los Angeles"/>
    <s v="Missed"/>
    <s v="On-time"/>
    <s v="On-time"/>
    <x v="1"/>
    <s v="Late"/>
    <s v="Late"/>
  </r>
  <r>
    <s v="CUST0368"/>
    <n v="38"/>
    <n v="118081"/>
    <n v="523"/>
    <x v="0"/>
    <n v="0.82586466732360497"/>
    <x v="2"/>
    <n v="4"/>
    <n v="0"/>
    <n v="74288"/>
    <n v="0.17658788649909199"/>
    <s v="Low DTI"/>
    <x v="0"/>
    <n v="16"/>
    <x v="2"/>
    <s v="New York"/>
    <s v="Late"/>
    <s v="Missed"/>
    <s v="Late"/>
    <x v="0"/>
    <s v="On-time"/>
    <s v="Missed"/>
  </r>
  <r>
    <s v="CUST0369"/>
    <n v="65"/>
    <n v="28807"/>
    <n v="728"/>
    <x v="1"/>
    <n v="0.55277888609080295"/>
    <x v="0"/>
    <n v="5"/>
    <n v="0"/>
    <n v="24670"/>
    <n v="0.226319829467862"/>
    <s v="Low DTI"/>
    <x v="0"/>
    <n v="4"/>
    <x v="3"/>
    <s v="Phoenix"/>
    <s v="Late"/>
    <s v="On-time"/>
    <s v="Missed"/>
    <x v="2"/>
    <s v="On-time"/>
    <s v="On-time"/>
  </r>
  <r>
    <s v="CUST0370"/>
    <n v="37"/>
    <n v="107658"/>
    <n v="459"/>
    <x v="0"/>
    <n v="0.381904386291124"/>
    <x v="0"/>
    <n v="1"/>
    <n v="0"/>
    <n v="62561"/>
    <n v="0.263326845196098"/>
    <s v="Low DTI"/>
    <x v="0"/>
    <n v="11"/>
    <x v="3"/>
    <s v="New York"/>
    <s v="On-time"/>
    <s v="Missed"/>
    <s v="On-time"/>
    <x v="0"/>
    <s v="Late"/>
    <s v="Missed"/>
  </r>
  <r>
    <s v="CUST0371"/>
    <n v="73"/>
    <n v="107658"/>
    <n v="384"/>
    <x v="0"/>
    <n v="0.57488726519091404"/>
    <x v="0"/>
    <n v="4"/>
    <n v="0"/>
    <n v="91970"/>
    <n v="0.33050621389651602"/>
    <s v="Moderate DTI"/>
    <x v="2"/>
    <n v="5"/>
    <x v="1"/>
    <s v="Los Angeles"/>
    <s v="Late"/>
    <s v="Late"/>
    <s v="Late"/>
    <x v="1"/>
    <s v="Missed"/>
    <s v="Missed"/>
  </r>
  <r>
    <s v="CUST0372"/>
    <n v="25"/>
    <n v="90353"/>
    <n v="643"/>
    <x v="1"/>
    <n v="0.50702957628490097"/>
    <x v="0"/>
    <n v="1"/>
    <n v="0"/>
    <n v="88423"/>
    <n v="0.21990324031040201"/>
    <s v="Low DTI"/>
    <x v="2"/>
    <n v="8"/>
    <x v="0"/>
    <s v="Los Angeles"/>
    <s v="Missed"/>
    <s v="Late"/>
    <s v="Missed"/>
    <x v="2"/>
    <s v="Missed"/>
    <s v="Late"/>
  </r>
  <r>
    <s v="CUST0373"/>
    <n v="24"/>
    <n v="42350"/>
    <n v="664"/>
    <x v="1"/>
    <n v="0.40160532617217598"/>
    <x v="0"/>
    <n v="4"/>
    <n v="0"/>
    <n v="11251"/>
    <n v="0.328039197111331"/>
    <s v="Moderate DTI"/>
    <x v="3"/>
    <n v="19"/>
    <x v="1"/>
    <s v="Phoenix"/>
    <s v="Late"/>
    <s v="On-time"/>
    <s v="On-time"/>
    <x v="0"/>
    <s v="Missed"/>
    <s v="Late"/>
  </r>
  <r>
    <s v="CUST0374"/>
    <n v="20"/>
    <n v="76813"/>
    <n v="693"/>
    <x v="1"/>
    <n v="0.22067422884235399"/>
    <x v="1"/>
    <n v="4"/>
    <n v="0"/>
    <n v="85678"/>
    <n v="0.33620401458590499"/>
    <s v="Moderate DTI"/>
    <x v="3"/>
    <n v="0"/>
    <x v="2"/>
    <s v="Houston"/>
    <s v="On-time"/>
    <s v="On-time"/>
    <s v="On-time"/>
    <x v="1"/>
    <s v="Late"/>
    <s v="Late"/>
  </r>
  <r>
    <s v="CUST0375"/>
    <n v="34"/>
    <n v="101900"/>
    <n v="648"/>
    <x v="1"/>
    <n v="0.78770849690245803"/>
    <x v="2"/>
    <n v="1"/>
    <n v="1"/>
    <n v="48942"/>
    <n v="0.31433438825958798"/>
    <s v="Moderate DTI"/>
    <x v="2"/>
    <n v="14"/>
    <x v="1"/>
    <s v="Houston"/>
    <s v="Missed"/>
    <s v="Missed"/>
    <s v="Missed"/>
    <x v="1"/>
    <s v="On-time"/>
    <s v="Missed"/>
  </r>
  <r>
    <s v="CUST0376"/>
    <n v="50"/>
    <n v="107658"/>
    <n v="773"/>
    <x v="2"/>
    <n v="0.54196362574200796"/>
    <x v="0"/>
    <n v="3"/>
    <n v="0"/>
    <n v="7468"/>
    <n v="0.18713770029873"/>
    <s v="Low DTI"/>
    <x v="1"/>
    <n v="5"/>
    <x v="0"/>
    <s v="Phoenix"/>
    <s v="Missed"/>
    <s v="Missed"/>
    <s v="Late"/>
    <x v="2"/>
    <s v="Missed"/>
    <s v="Late"/>
  </r>
  <r>
    <s v="CUST0377"/>
    <n v="65"/>
    <n v="107658"/>
    <n v="781"/>
    <x v="2"/>
    <n v="0.93474767469364695"/>
    <x v="2"/>
    <n v="4"/>
    <n v="0"/>
    <n v="26000"/>
    <n v="0.34678267252359501"/>
    <s v="Moderate DTI"/>
    <x v="0"/>
    <n v="18"/>
    <x v="3"/>
    <s v="Phoenix"/>
    <s v="On-time"/>
    <s v="Late"/>
    <s v="On-time"/>
    <x v="0"/>
    <s v="On-time"/>
    <s v="On-time"/>
  </r>
  <r>
    <s v="CUST0378"/>
    <n v="29"/>
    <n v="68932"/>
    <n v="535"/>
    <x v="0"/>
    <n v="0.68806432410817597"/>
    <x v="0"/>
    <n v="2"/>
    <n v="0"/>
    <n v="82909"/>
    <n v="0.50812696287667203"/>
    <s v="High DTI"/>
    <x v="0"/>
    <n v="17"/>
    <x v="1"/>
    <s v="New York"/>
    <s v="Late"/>
    <s v="Late"/>
    <s v="On-time"/>
    <x v="1"/>
    <s v="On-time"/>
    <s v="Late"/>
  </r>
  <r>
    <s v="CUST0379"/>
    <n v="68"/>
    <n v="107658"/>
    <n v="586"/>
    <x v="0"/>
    <n v="0.61026394495220804"/>
    <x v="0"/>
    <n v="6"/>
    <n v="0"/>
    <n v="27490"/>
    <n v="0.32458968269129002"/>
    <s v="Moderate DTI"/>
    <x v="0"/>
    <n v="5"/>
    <x v="2"/>
    <s v="Phoenix"/>
    <s v="Missed"/>
    <s v="Missed"/>
    <s v="Missed"/>
    <x v="0"/>
    <s v="On-time"/>
    <s v="Late"/>
  </r>
  <r>
    <s v="CUST0380"/>
    <n v="39"/>
    <n v="150230"/>
    <n v="742"/>
    <x v="1"/>
    <n v="0.41295913427660602"/>
    <x v="0"/>
    <n v="5"/>
    <n v="1"/>
    <n v="33472"/>
    <n v="0.1"/>
    <s v="Low DTI"/>
    <x v="0"/>
    <n v="12"/>
    <x v="2"/>
    <s v="Houston"/>
    <s v="Late"/>
    <s v="Late"/>
    <s v="On-time"/>
    <x v="1"/>
    <s v="Missed"/>
    <s v="Late"/>
  </r>
  <r>
    <s v="CUST0381"/>
    <n v="72"/>
    <n v="100999"/>
    <n v="823"/>
    <x v="2"/>
    <n v="0.28093088722861598"/>
    <x v="1"/>
    <n v="3"/>
    <n v="0"/>
    <n v="13355"/>
    <n v="0.42408795720469"/>
    <s v="Moderate DTI"/>
    <x v="2"/>
    <n v="0"/>
    <x v="3"/>
    <s v="Phoenix"/>
    <s v="Late"/>
    <s v="On-time"/>
    <s v="Late"/>
    <x v="1"/>
    <s v="Late"/>
    <s v="On-time"/>
  </r>
  <r>
    <s v="CUST0382"/>
    <n v="39"/>
    <n v="88963"/>
    <n v="310"/>
    <x v="0"/>
    <n v="0.45645380310230999"/>
    <x v="0"/>
    <n v="1"/>
    <n v="0"/>
    <n v="6118"/>
    <n v="0.22972522233006101"/>
    <s v="Low DTI"/>
    <x v="0"/>
    <n v="12"/>
    <x v="1"/>
    <s v="New York"/>
    <s v="Missed"/>
    <s v="On-time"/>
    <s v="On-time"/>
    <x v="0"/>
    <s v="Late"/>
    <s v="On-time"/>
  </r>
  <r>
    <s v="CUST0383"/>
    <n v="63"/>
    <n v="120616"/>
    <n v="345"/>
    <x v="0"/>
    <n v="0.27514148115883302"/>
    <x v="1"/>
    <n v="3"/>
    <n v="0"/>
    <n v="98999"/>
    <n v="0.52657126904956897"/>
    <s v="High DTI"/>
    <x v="2"/>
    <n v="6"/>
    <x v="0"/>
    <s v="New York"/>
    <s v="Late"/>
    <s v="Late"/>
    <s v="Missed"/>
    <x v="1"/>
    <s v="Late"/>
    <s v="Missed"/>
  </r>
  <r>
    <s v="CUST0384"/>
    <n v="47"/>
    <n v="61540"/>
    <n v="414"/>
    <x v="0"/>
    <n v="0.63003807614615004"/>
    <x v="0"/>
    <n v="0"/>
    <n v="0"/>
    <n v="37658"/>
    <n v="0.31163634513659599"/>
    <s v="Moderate DTI"/>
    <x v="0"/>
    <n v="14"/>
    <x v="3"/>
    <s v="New York"/>
    <s v="On-time"/>
    <s v="Missed"/>
    <s v="Missed"/>
    <x v="0"/>
    <s v="On-time"/>
    <s v="Missed"/>
  </r>
  <r>
    <s v="CUST0385"/>
    <n v="55"/>
    <n v="53756"/>
    <n v="611"/>
    <x v="1"/>
    <n v="0.82653049953942603"/>
    <x v="2"/>
    <n v="0"/>
    <n v="0"/>
    <n v="94309"/>
    <n v="0.13152993060141699"/>
    <s v="Low DTI"/>
    <x v="2"/>
    <n v="11"/>
    <x v="1"/>
    <s v="New York"/>
    <s v="Missed"/>
    <s v="Late"/>
    <s v="Late"/>
    <x v="1"/>
    <s v="On-time"/>
    <s v="Missed"/>
  </r>
  <r>
    <s v="CUST0386"/>
    <n v="55"/>
    <n v="109297"/>
    <n v="806"/>
    <x v="2"/>
    <n v="0.44781754677657298"/>
    <x v="0"/>
    <n v="4"/>
    <n v="0"/>
    <n v="33354"/>
    <n v="0.1"/>
    <s v="Low DTI"/>
    <x v="0"/>
    <n v="0"/>
    <x v="4"/>
    <s v="Chicago"/>
    <s v="Missed"/>
    <s v="Missed"/>
    <s v="On-time"/>
    <x v="0"/>
    <s v="Late"/>
    <s v="On-time"/>
  </r>
  <r>
    <s v="CUST0387"/>
    <n v="62"/>
    <n v="107658"/>
    <n v="383"/>
    <x v="0"/>
    <n v="0.68889819447823897"/>
    <x v="0"/>
    <n v="4"/>
    <n v="0"/>
    <n v="48942"/>
    <n v="0.45397407626758701"/>
    <s v="Moderate DTI"/>
    <x v="0"/>
    <n v="14"/>
    <x v="2"/>
    <s v="Phoenix"/>
    <s v="Late"/>
    <s v="Missed"/>
    <s v="Late"/>
    <x v="1"/>
    <s v="Missed"/>
    <s v="On-time"/>
  </r>
  <r>
    <s v="CUST0388"/>
    <n v="68"/>
    <n v="53304"/>
    <n v="469"/>
    <x v="0"/>
    <n v="0.36215418595662802"/>
    <x v="0"/>
    <n v="2"/>
    <n v="0"/>
    <n v="31674"/>
    <n v="0.41059049859172703"/>
    <s v="Moderate DTI"/>
    <x v="3"/>
    <n v="3"/>
    <x v="0"/>
    <s v="Los Angeles"/>
    <s v="Missed"/>
    <s v="Late"/>
    <s v="On-time"/>
    <x v="0"/>
    <s v="On-time"/>
    <s v="Missed"/>
  </r>
  <r>
    <s v="CUST0389"/>
    <n v="71"/>
    <n v="173427"/>
    <n v="550"/>
    <x v="0"/>
    <n v="0.43950663235852899"/>
    <x v="0"/>
    <n v="6"/>
    <n v="0"/>
    <n v="3081"/>
    <n v="0.522601888576669"/>
    <s v="High DTI"/>
    <x v="0"/>
    <n v="12"/>
    <x v="0"/>
    <s v="Phoenix"/>
    <s v="Missed"/>
    <s v="On-time"/>
    <s v="Missed"/>
    <x v="0"/>
    <s v="Missed"/>
    <s v="Missed"/>
  </r>
  <r>
    <s v="CUST0390"/>
    <n v="25"/>
    <n v="140917"/>
    <n v="725"/>
    <x v="1"/>
    <n v="0.33700720308691101"/>
    <x v="0"/>
    <n v="5"/>
    <n v="1"/>
    <n v="16454"/>
    <n v="0.30109244855735501"/>
    <s v="Moderate DTI"/>
    <x v="0"/>
    <n v="4"/>
    <x v="0"/>
    <s v="Chicago"/>
    <s v="On-time"/>
    <s v="Missed"/>
    <s v="Late"/>
    <x v="1"/>
    <s v="Missed"/>
    <s v="Missed"/>
  </r>
  <r>
    <s v="CUST0391"/>
    <n v="44"/>
    <n v="96317"/>
    <n v="685"/>
    <x v="1"/>
    <n v="7.3373392985897901E-2"/>
    <x v="1"/>
    <n v="3"/>
    <n v="0"/>
    <n v="63375"/>
    <n v="0.29434701166203098"/>
    <s v="Low DTI"/>
    <x v="1"/>
    <n v="1"/>
    <x v="2"/>
    <s v="New York"/>
    <s v="Late"/>
    <s v="Late"/>
    <s v="Missed"/>
    <x v="1"/>
    <s v="On-time"/>
    <s v="Missed"/>
  </r>
  <r>
    <s v="CUST0392"/>
    <n v="44"/>
    <n v="93832"/>
    <n v="459"/>
    <x v="0"/>
    <n v="0.49269333001627702"/>
    <x v="0"/>
    <n v="0"/>
    <n v="0"/>
    <n v="11587"/>
    <n v="0.26172812078414398"/>
    <s v="Low DTI"/>
    <x v="2"/>
    <n v="0"/>
    <x v="1"/>
    <s v="Chicago"/>
    <s v="Late"/>
    <s v="On-time"/>
    <s v="Late"/>
    <x v="0"/>
    <s v="Late"/>
    <s v="Missed"/>
  </r>
  <r>
    <s v="CUST0393"/>
    <n v="51"/>
    <n v="31896"/>
    <n v="834"/>
    <x v="2"/>
    <n v="0.52569034751955002"/>
    <x v="0"/>
    <n v="4"/>
    <n v="0"/>
    <n v="49798"/>
    <n v="0.23417097587407701"/>
    <s v="Low DTI"/>
    <x v="1"/>
    <n v="15"/>
    <x v="3"/>
    <s v="Houston"/>
    <s v="Late"/>
    <s v="Missed"/>
    <s v="On-time"/>
    <x v="2"/>
    <s v="Missed"/>
    <s v="Late"/>
  </r>
  <r>
    <s v="CUST0394"/>
    <n v="38"/>
    <n v="107658"/>
    <n v="622"/>
    <x v="1"/>
    <n v="0.71317219975232704"/>
    <x v="2"/>
    <n v="5"/>
    <n v="0"/>
    <n v="44454"/>
    <n v="0.260757044554218"/>
    <s v="Low DTI"/>
    <x v="2"/>
    <n v="5"/>
    <x v="1"/>
    <s v="Houston"/>
    <s v="On-time"/>
    <s v="Missed"/>
    <s v="Late"/>
    <x v="2"/>
    <s v="Missed"/>
    <s v="On-time"/>
  </r>
  <r>
    <s v="CUST0395"/>
    <n v="47"/>
    <n v="70284"/>
    <n v="528"/>
    <x v="0"/>
    <n v="0.65908765053385698"/>
    <x v="0"/>
    <n v="3"/>
    <n v="0"/>
    <n v="30575"/>
    <n v="0.32174633323240198"/>
    <s v="Moderate DTI"/>
    <x v="3"/>
    <n v="15"/>
    <x v="3"/>
    <s v="Phoenix"/>
    <s v="On-time"/>
    <s v="Late"/>
    <s v="On-time"/>
    <x v="2"/>
    <s v="Missed"/>
    <s v="Missed"/>
  </r>
  <r>
    <s v="CUST0396"/>
    <n v="50"/>
    <n v="72043"/>
    <n v="308"/>
    <x v="0"/>
    <n v="0.66179057980779898"/>
    <x v="0"/>
    <n v="4"/>
    <n v="0"/>
    <n v="45776"/>
    <n v="0.215609921308789"/>
    <s v="Low DTI"/>
    <x v="0"/>
    <n v="13"/>
    <x v="0"/>
    <s v="Phoenix"/>
    <s v="On-time"/>
    <s v="On-time"/>
    <s v="On-time"/>
    <x v="1"/>
    <s v="Missed"/>
    <s v="Late"/>
  </r>
  <r>
    <s v="CUST0397"/>
    <n v="45"/>
    <n v="183152"/>
    <n v="656"/>
    <x v="1"/>
    <n v="0.30519275537642399"/>
    <x v="0"/>
    <n v="4"/>
    <n v="0"/>
    <n v="24835"/>
    <n v="0.13307106531260099"/>
    <s v="Low DTI"/>
    <x v="3"/>
    <n v="2"/>
    <x v="1"/>
    <s v="Los Angeles"/>
    <s v="On-time"/>
    <s v="Late"/>
    <s v="On-time"/>
    <x v="1"/>
    <s v="On-time"/>
    <s v="Late"/>
  </r>
  <r>
    <s v="CUST0398"/>
    <n v="64"/>
    <n v="170576"/>
    <n v="337"/>
    <x v="0"/>
    <n v="0.59189946121413795"/>
    <x v="0"/>
    <n v="0"/>
    <n v="0"/>
    <n v="19733"/>
    <n v="0.31598766340141698"/>
    <s v="Moderate DTI"/>
    <x v="0"/>
    <n v="14"/>
    <x v="0"/>
    <s v="Los Angeles"/>
    <s v="Late"/>
    <s v="Missed"/>
    <s v="Missed"/>
    <x v="0"/>
    <s v="On-time"/>
    <s v="Missed"/>
  </r>
  <r>
    <s v="CUST0399"/>
    <n v="50"/>
    <n v="198401"/>
    <n v="523"/>
    <x v="0"/>
    <n v="0.81651879309631803"/>
    <x v="2"/>
    <n v="0"/>
    <n v="0"/>
    <n v="52217"/>
    <n v="0.21338044013065599"/>
    <s v="Low DTI"/>
    <x v="3"/>
    <n v="2"/>
    <x v="4"/>
    <s v="Houston"/>
    <s v="Late"/>
    <s v="Missed"/>
    <s v="Missed"/>
    <x v="1"/>
    <s v="Late"/>
    <s v="On-time"/>
  </r>
  <r>
    <s v="CUST0400"/>
    <n v="22"/>
    <n v="86726"/>
    <n v="584"/>
    <x v="0"/>
    <n v="0.57597357014181605"/>
    <x v="0"/>
    <n v="4"/>
    <n v="0"/>
    <n v="60278"/>
    <n v="0.1"/>
    <s v="Low DTI"/>
    <x v="3"/>
    <n v="1"/>
    <x v="0"/>
    <s v="New York"/>
    <s v="On-time"/>
    <s v="Late"/>
    <s v="On-time"/>
    <x v="0"/>
    <s v="Missed"/>
    <s v="On-time"/>
  </r>
  <r>
    <s v="CUST0401"/>
    <n v="65"/>
    <n v="180421"/>
    <n v="762"/>
    <x v="2"/>
    <n v="0.86571872261299898"/>
    <x v="2"/>
    <n v="1"/>
    <n v="0"/>
    <n v="91557"/>
    <n v="0.35525673906570099"/>
    <s v="Moderate DTI"/>
    <x v="0"/>
    <n v="0"/>
    <x v="0"/>
    <s v="Chicago"/>
    <s v="Missed"/>
    <s v="Missed"/>
    <s v="On-time"/>
    <x v="2"/>
    <s v="Missed"/>
    <s v="Late"/>
  </r>
  <r>
    <s v="CUST0402"/>
    <n v="36"/>
    <n v="107658"/>
    <n v="306"/>
    <x v="0"/>
    <n v="0.90379322222397196"/>
    <x v="2"/>
    <n v="4"/>
    <n v="0"/>
    <n v="55345"/>
    <n v="0.189194096188297"/>
    <s v="Low DTI"/>
    <x v="2"/>
    <n v="8"/>
    <x v="3"/>
    <s v="Los Angeles"/>
    <s v="On-time"/>
    <s v="Missed"/>
    <s v="Missed"/>
    <x v="2"/>
    <s v="Late"/>
    <s v="Late"/>
  </r>
  <r>
    <s v="CUST0403"/>
    <n v="21"/>
    <n v="57318"/>
    <n v="770"/>
    <x v="2"/>
    <n v="0.44630634594167001"/>
    <x v="0"/>
    <n v="5"/>
    <n v="1"/>
    <n v="3091"/>
    <n v="0.36617894546907298"/>
    <s v="Moderate DTI"/>
    <x v="0"/>
    <n v="8"/>
    <x v="4"/>
    <s v="Los Angeles"/>
    <s v="On-time"/>
    <s v="On-time"/>
    <s v="On-time"/>
    <x v="0"/>
    <s v="Late"/>
    <s v="On-time"/>
  </r>
  <r>
    <s v="CUST0404"/>
    <n v="52"/>
    <n v="38524"/>
    <n v="563"/>
    <x v="0"/>
    <n v="0.36061205098388499"/>
    <x v="0"/>
    <n v="4"/>
    <n v="0"/>
    <n v="32207"/>
    <n v="0.36378481065159801"/>
    <s v="Moderate DTI"/>
    <x v="0"/>
    <n v="6"/>
    <x v="0"/>
    <s v="New York"/>
    <s v="On-time"/>
    <s v="On-time"/>
    <s v="Missed"/>
    <x v="2"/>
    <s v="Late"/>
    <s v="Missed"/>
  </r>
  <r>
    <s v="CUST0405"/>
    <n v="66"/>
    <n v="161377"/>
    <n v="380"/>
    <x v="0"/>
    <n v="0.34770756691620902"/>
    <x v="0"/>
    <n v="2"/>
    <n v="0"/>
    <n v="98999"/>
    <n v="0.328359001152283"/>
    <s v="Moderate DTI"/>
    <x v="3"/>
    <n v="2"/>
    <x v="0"/>
    <s v="New York"/>
    <s v="Late"/>
    <s v="On-time"/>
    <s v="On-time"/>
    <x v="2"/>
    <s v="Missed"/>
    <s v="Missed"/>
  </r>
  <r>
    <s v="CUST0406"/>
    <n v="34"/>
    <n v="119573"/>
    <n v="360"/>
    <x v="0"/>
    <n v="0.19677283597935499"/>
    <x v="1"/>
    <n v="6"/>
    <n v="0"/>
    <n v="90739"/>
    <n v="0.54968178403564905"/>
    <s v="High DTI"/>
    <x v="0"/>
    <n v="17"/>
    <x v="4"/>
    <s v="Phoenix"/>
    <s v="Missed"/>
    <s v="Late"/>
    <s v="Late"/>
    <x v="0"/>
    <s v="Missed"/>
    <s v="Late"/>
  </r>
  <r>
    <s v="CUST0407"/>
    <n v="61"/>
    <n v="167617"/>
    <n v="638"/>
    <x v="1"/>
    <n v="0.39631942011689503"/>
    <x v="0"/>
    <n v="2"/>
    <n v="0"/>
    <n v="85780"/>
    <n v="0.286194815002762"/>
    <s v="Low DTI"/>
    <x v="3"/>
    <n v="10"/>
    <x v="4"/>
    <s v="Chicago"/>
    <s v="Missed"/>
    <s v="On-time"/>
    <s v="Missed"/>
    <x v="2"/>
    <s v="On-time"/>
    <s v="Late"/>
  </r>
  <r>
    <s v="CUST0408"/>
    <n v="45"/>
    <n v="107658"/>
    <n v="627"/>
    <x v="1"/>
    <n v="0.741533089951249"/>
    <x v="2"/>
    <n v="2"/>
    <n v="0"/>
    <n v="44303"/>
    <n v="0.27143604325014098"/>
    <s v="Low DTI"/>
    <x v="0"/>
    <n v="6"/>
    <x v="1"/>
    <s v="New York"/>
    <s v="On-time"/>
    <s v="Missed"/>
    <s v="On-time"/>
    <x v="0"/>
    <s v="Missed"/>
    <s v="Missed"/>
  </r>
  <r>
    <s v="CUST0409"/>
    <n v="47"/>
    <n v="71570"/>
    <n v="341"/>
    <x v="0"/>
    <n v="5.9192484949751899E-2"/>
    <x v="1"/>
    <n v="1"/>
    <n v="0"/>
    <n v="39582"/>
    <n v="0.36836724214169098"/>
    <s v="Moderate DTI"/>
    <x v="1"/>
    <n v="8"/>
    <x v="3"/>
    <s v="Los Angeles"/>
    <s v="On-time"/>
    <s v="Late"/>
    <s v="Late"/>
    <x v="0"/>
    <s v="On-time"/>
    <s v="Late"/>
  </r>
  <r>
    <s v="CUST0410"/>
    <n v="46"/>
    <n v="165580"/>
    <n v="734"/>
    <x v="1"/>
    <n v="0.29250931985724998"/>
    <x v="1"/>
    <n v="1"/>
    <n v="0"/>
    <n v="1217"/>
    <n v="0.29445526378862003"/>
    <s v="Low DTI"/>
    <x v="0"/>
    <n v="0"/>
    <x v="4"/>
    <s v="Los Angeles"/>
    <s v="On-time"/>
    <s v="Late"/>
    <s v="Missed"/>
    <x v="2"/>
    <s v="Missed"/>
    <s v="On-time"/>
  </r>
  <r>
    <s v="CUST0411"/>
    <n v="63"/>
    <n v="154487"/>
    <n v="595"/>
    <x v="0"/>
    <n v="0.4745737116696"/>
    <x v="0"/>
    <n v="4"/>
    <n v="0"/>
    <n v="89616"/>
    <n v="0.4160493537394"/>
    <s v="Moderate DTI"/>
    <x v="0"/>
    <n v="13"/>
    <x v="4"/>
    <s v="Houston"/>
    <s v="On-time"/>
    <s v="Missed"/>
    <s v="Missed"/>
    <x v="1"/>
    <s v="Late"/>
    <s v="Missed"/>
  </r>
  <r>
    <s v="CUST0412"/>
    <n v="70"/>
    <n v="130359"/>
    <n v="835"/>
    <x v="2"/>
    <n v="0.32456295987565997"/>
    <x v="0"/>
    <n v="2"/>
    <n v="0"/>
    <n v="47906"/>
    <n v="0.17311940924244701"/>
    <s v="Low DTI"/>
    <x v="0"/>
    <n v="19"/>
    <x v="2"/>
    <s v="New York"/>
    <s v="Missed"/>
    <s v="On-time"/>
    <s v="Late"/>
    <x v="0"/>
    <s v="Late"/>
    <s v="Missed"/>
  </r>
  <r>
    <s v="CUST0413"/>
    <n v="23"/>
    <n v="58919"/>
    <n v="784"/>
    <x v="2"/>
    <n v="0.394542811151955"/>
    <x v="0"/>
    <n v="1"/>
    <n v="0"/>
    <n v="45776"/>
    <n v="0.17478255525356501"/>
    <s v="Low DTI"/>
    <x v="0"/>
    <n v="5"/>
    <x v="4"/>
    <s v="Phoenix"/>
    <s v="Missed"/>
    <s v="On-time"/>
    <s v="Late"/>
    <x v="1"/>
    <s v="On-time"/>
    <s v="Late"/>
  </r>
  <r>
    <s v="CUST0414"/>
    <n v="52"/>
    <n v="109074"/>
    <n v="401"/>
    <x v="0"/>
    <n v="0.39753406511553901"/>
    <x v="0"/>
    <n v="0"/>
    <n v="0"/>
    <n v="61210"/>
    <n v="0.37658094913262102"/>
    <s v="Moderate DTI"/>
    <x v="3"/>
    <n v="6"/>
    <x v="3"/>
    <s v="Chicago"/>
    <s v="Late"/>
    <s v="Missed"/>
    <s v="On-time"/>
    <x v="2"/>
    <s v="Missed"/>
    <s v="Missed"/>
  </r>
  <r>
    <s v="CUST0415"/>
    <n v="58"/>
    <n v="152326"/>
    <n v="474"/>
    <x v="0"/>
    <n v="0.44849195598765002"/>
    <x v="0"/>
    <n v="4"/>
    <n v="1"/>
    <n v="5626"/>
    <n v="0.18351890606613899"/>
    <s v="Low DTI"/>
    <x v="2"/>
    <n v="9"/>
    <x v="0"/>
    <s v="Phoenix"/>
    <s v="On-time"/>
    <s v="Missed"/>
    <s v="Late"/>
    <x v="1"/>
    <s v="On-time"/>
    <s v="Late"/>
  </r>
  <r>
    <s v="CUST0416"/>
    <n v="54"/>
    <n v="40934"/>
    <n v="694"/>
    <x v="1"/>
    <n v="0.35410906077805199"/>
    <x v="0"/>
    <n v="5"/>
    <n v="0"/>
    <n v="62561"/>
    <n v="0.360909860644271"/>
    <s v="Moderate DTI"/>
    <x v="2"/>
    <n v="6"/>
    <x v="0"/>
    <s v="Los Angeles"/>
    <s v="Missed"/>
    <s v="Late"/>
    <s v="Late"/>
    <x v="2"/>
    <s v="Missed"/>
    <s v="Late"/>
  </r>
  <r>
    <s v="CUST0417"/>
    <n v="41"/>
    <n v="126888"/>
    <n v="793"/>
    <x v="2"/>
    <n v="0.33775735722889"/>
    <x v="0"/>
    <n v="6"/>
    <n v="0"/>
    <n v="63412"/>
    <n v="0.33700028462103598"/>
    <s v="Moderate DTI"/>
    <x v="2"/>
    <n v="1"/>
    <x v="0"/>
    <s v="Phoenix"/>
    <s v="Late"/>
    <s v="On-time"/>
    <s v="On-time"/>
    <x v="0"/>
    <s v="Missed"/>
    <s v="Late"/>
  </r>
  <r>
    <s v="CUST0418"/>
    <n v="46"/>
    <n v="73243"/>
    <n v="595"/>
    <x v="0"/>
    <n v="0.68686194918424603"/>
    <x v="0"/>
    <n v="3"/>
    <n v="0"/>
    <n v="62253"/>
    <n v="0.230551171397233"/>
    <s v="Low DTI"/>
    <x v="3"/>
    <n v="3"/>
    <x v="0"/>
    <s v="Los Angeles"/>
    <s v="Late"/>
    <s v="Late"/>
    <s v="Late"/>
    <x v="2"/>
    <s v="On-time"/>
    <s v="Late"/>
  </r>
  <r>
    <s v="CUST0419"/>
    <n v="66"/>
    <n v="107658"/>
    <n v="452"/>
    <x v="0"/>
    <n v="0.70993083557206904"/>
    <x v="2"/>
    <n v="4"/>
    <n v="0"/>
    <n v="46333"/>
    <n v="0.33671701602334297"/>
    <s v="Moderate DTI"/>
    <x v="0"/>
    <n v="16"/>
    <x v="2"/>
    <s v="Los Angeles"/>
    <s v="Late"/>
    <s v="Late"/>
    <s v="Late"/>
    <x v="0"/>
    <s v="On-time"/>
    <s v="On-time"/>
  </r>
  <r>
    <s v="CUST0420"/>
    <n v="63"/>
    <n v="65990"/>
    <n v="766"/>
    <x v="2"/>
    <n v="0.223891330950518"/>
    <x v="1"/>
    <n v="3"/>
    <n v="0"/>
    <n v="62253"/>
    <n v="0.17654075542157599"/>
    <s v="Low DTI"/>
    <x v="2"/>
    <n v="0"/>
    <x v="4"/>
    <s v="Los Angeles"/>
    <s v="Late"/>
    <s v="Late"/>
    <s v="Late"/>
    <x v="2"/>
    <s v="On-time"/>
    <s v="Missed"/>
  </r>
  <r>
    <s v="CUST0421"/>
    <n v="70"/>
    <n v="180983"/>
    <n v="711"/>
    <x v="1"/>
    <n v="0.05"/>
    <x v="1"/>
    <n v="2"/>
    <n v="0"/>
    <n v="73733"/>
    <n v="0.20001000737362901"/>
    <s v="Low DTI"/>
    <x v="1"/>
    <n v="9"/>
    <x v="0"/>
    <s v="Los Angeles"/>
    <s v="Missed"/>
    <s v="Missed"/>
    <s v="Late"/>
    <x v="1"/>
    <s v="On-time"/>
    <s v="Missed"/>
  </r>
  <r>
    <s v="CUST0422"/>
    <n v="48"/>
    <n v="196415"/>
    <n v="415"/>
    <x v="0"/>
    <n v="0.712674969914186"/>
    <x v="2"/>
    <n v="6"/>
    <n v="0"/>
    <n v="95276"/>
    <n v="0.27628122615879303"/>
    <s v="Low DTI"/>
    <x v="0"/>
    <n v="18"/>
    <x v="1"/>
    <s v="Los Angeles"/>
    <s v="On-time"/>
    <s v="Late"/>
    <s v="Late"/>
    <x v="2"/>
    <s v="Missed"/>
    <s v="Missed"/>
  </r>
  <r>
    <s v="CUST0423"/>
    <n v="52"/>
    <n v="179506"/>
    <n v="398"/>
    <x v="0"/>
    <n v="0.25423991628957199"/>
    <x v="1"/>
    <n v="3"/>
    <n v="0"/>
    <n v="59691"/>
    <n v="0.30789278190722202"/>
    <s v="Moderate DTI"/>
    <x v="0"/>
    <n v="14"/>
    <x v="0"/>
    <s v="Houston"/>
    <s v="On-time"/>
    <s v="Late"/>
    <s v="Missed"/>
    <x v="2"/>
    <s v="On-time"/>
    <s v="Missed"/>
  </r>
  <r>
    <s v="CUST0424"/>
    <n v="50"/>
    <n v="71570"/>
    <n v="634"/>
    <x v="1"/>
    <n v="0.54254896769194705"/>
    <x v="0"/>
    <n v="2"/>
    <n v="1"/>
    <n v="36820"/>
    <n v="0.26963614630121402"/>
    <s v="Low DTI"/>
    <x v="0"/>
    <n v="9"/>
    <x v="4"/>
    <s v="Phoenix"/>
    <s v="Missed"/>
    <s v="Late"/>
    <s v="Missed"/>
    <x v="2"/>
    <s v="Late"/>
    <s v="Late"/>
  </r>
  <r>
    <s v="CUST0425"/>
    <n v="69"/>
    <n v="104588"/>
    <n v="811"/>
    <x v="2"/>
    <n v="0.186865625394356"/>
    <x v="1"/>
    <n v="0"/>
    <n v="0"/>
    <n v="65548"/>
    <n v="0.34331159638731101"/>
    <s v="Moderate DTI"/>
    <x v="2"/>
    <n v="18"/>
    <x v="0"/>
    <s v="Houston"/>
    <s v="Missed"/>
    <s v="On-time"/>
    <s v="Missed"/>
    <x v="1"/>
    <s v="Missed"/>
    <s v="Late"/>
  </r>
  <r>
    <s v="CUST0426"/>
    <n v="38"/>
    <n v="146800"/>
    <n v="500"/>
    <x v="0"/>
    <n v="0.75955099705193396"/>
    <x v="2"/>
    <n v="3"/>
    <n v="0"/>
    <n v="29584"/>
    <n v="0.33884664150482902"/>
    <s v="Moderate DTI"/>
    <x v="0"/>
    <n v="11"/>
    <x v="2"/>
    <s v="Houston"/>
    <s v="Late"/>
    <s v="On-time"/>
    <s v="Missed"/>
    <x v="1"/>
    <s v="Late"/>
    <s v="Late"/>
  </r>
  <r>
    <s v="CUST0427"/>
    <n v="49"/>
    <n v="163216"/>
    <n v="768"/>
    <x v="2"/>
    <n v="1.0087335790603"/>
    <x v="2"/>
    <n v="6"/>
    <n v="0"/>
    <n v="60530"/>
    <n v="0.45293668083481398"/>
    <s v="Moderate DTI"/>
    <x v="0"/>
    <n v="15"/>
    <x v="3"/>
    <s v="New York"/>
    <s v="Late"/>
    <s v="On-time"/>
    <s v="Missed"/>
    <x v="0"/>
    <s v="Late"/>
    <s v="Missed"/>
  </r>
  <r>
    <s v="CUST0428"/>
    <n v="40"/>
    <n v="193677"/>
    <n v="320"/>
    <x v="0"/>
    <n v="0.53656138184106705"/>
    <x v="0"/>
    <n v="4"/>
    <n v="0"/>
    <n v="36913"/>
    <n v="0.290471465285499"/>
    <s v="Low DTI"/>
    <x v="1"/>
    <n v="8"/>
    <x v="3"/>
    <s v="New York"/>
    <s v="Missed"/>
    <s v="On-time"/>
    <s v="Missed"/>
    <x v="2"/>
    <s v="Late"/>
    <s v="Missed"/>
  </r>
  <r>
    <s v="CUST0429"/>
    <n v="50"/>
    <n v="38049"/>
    <n v="673"/>
    <x v="1"/>
    <n v="0.48117947030809599"/>
    <x v="0"/>
    <n v="2"/>
    <n v="0"/>
    <n v="62342"/>
    <n v="0.41945634311841201"/>
    <s v="Moderate DTI"/>
    <x v="2"/>
    <n v="14"/>
    <x v="4"/>
    <s v="New York"/>
    <s v="On-time"/>
    <s v="Missed"/>
    <s v="On-time"/>
    <x v="0"/>
    <s v="Late"/>
    <s v="On-time"/>
  </r>
  <r>
    <s v="CUST0430"/>
    <n v="20"/>
    <n v="129821"/>
    <n v="536"/>
    <x v="0"/>
    <n v="0.43557208496198702"/>
    <x v="0"/>
    <n v="4"/>
    <n v="1"/>
    <n v="49798"/>
    <n v="0.392072551289389"/>
    <s v="Moderate DTI"/>
    <x v="2"/>
    <n v="16"/>
    <x v="3"/>
    <s v="Chicago"/>
    <s v="Missed"/>
    <s v="On-time"/>
    <s v="Missed"/>
    <x v="0"/>
    <s v="Late"/>
    <s v="On-time"/>
  </r>
  <r>
    <s v="CUST0431"/>
    <n v="35"/>
    <n v="115235"/>
    <n v="691"/>
    <x v="1"/>
    <n v="0.65635986226258203"/>
    <x v="0"/>
    <n v="6"/>
    <n v="0"/>
    <n v="95276"/>
    <n v="0.52939772832931398"/>
    <s v="High DTI"/>
    <x v="1"/>
    <n v="13"/>
    <x v="3"/>
    <s v="New York"/>
    <s v="Missed"/>
    <s v="On-time"/>
    <s v="Late"/>
    <x v="2"/>
    <s v="Late"/>
    <s v="Missed"/>
  </r>
  <r>
    <s v="CUST0432"/>
    <n v="42"/>
    <n v="108610"/>
    <n v="467"/>
    <x v="0"/>
    <n v="0.61353735018691702"/>
    <x v="0"/>
    <n v="1"/>
    <n v="0"/>
    <n v="55812"/>
    <n v="0.287274198009772"/>
    <s v="Low DTI"/>
    <x v="1"/>
    <n v="17"/>
    <x v="1"/>
    <s v="Phoenix"/>
    <s v="On-time"/>
    <s v="Late"/>
    <s v="Missed"/>
    <x v="2"/>
    <s v="Late"/>
    <s v="Missed"/>
  </r>
  <r>
    <s v="CUST0433"/>
    <n v="59"/>
    <n v="31364"/>
    <n v="739"/>
    <x v="1"/>
    <n v="0.70069969071057203"/>
    <x v="2"/>
    <n v="2"/>
    <n v="0"/>
    <n v="24851"/>
    <n v="0.25796412785470102"/>
    <s v="Low DTI"/>
    <x v="0"/>
    <n v="1"/>
    <x v="4"/>
    <s v="Houston"/>
    <s v="On-time"/>
    <s v="Late"/>
    <s v="On-time"/>
    <x v="1"/>
    <s v="On-time"/>
    <s v="Missed"/>
  </r>
  <r>
    <s v="CUST0434"/>
    <n v="48"/>
    <n v="184160"/>
    <n v="572"/>
    <x v="0"/>
    <n v="0.37441669548038298"/>
    <x v="0"/>
    <n v="3"/>
    <n v="0"/>
    <n v="78289"/>
    <n v="0.42576942222437297"/>
    <s v="Moderate DTI"/>
    <x v="2"/>
    <n v="3"/>
    <x v="4"/>
    <s v="Phoenix"/>
    <s v="Late"/>
    <s v="Late"/>
    <s v="Late"/>
    <x v="0"/>
    <s v="Missed"/>
    <s v="Late"/>
  </r>
  <r>
    <s v="CUST0435"/>
    <n v="71"/>
    <n v="59238"/>
    <n v="401"/>
    <x v="0"/>
    <n v="0.56802354128092902"/>
    <x v="0"/>
    <n v="2"/>
    <n v="0"/>
    <n v="20052"/>
    <n v="0.33854325717412598"/>
    <s v="Moderate DTI"/>
    <x v="3"/>
    <n v="17"/>
    <x v="3"/>
    <s v="New York"/>
    <s v="Missed"/>
    <s v="On-time"/>
    <s v="Missed"/>
    <x v="1"/>
    <s v="Missed"/>
    <s v="On-time"/>
  </r>
  <r>
    <s v="CUST0436"/>
    <n v="20"/>
    <n v="68682"/>
    <n v="339"/>
    <x v="0"/>
    <n v="0.39150638665875998"/>
    <x v="0"/>
    <n v="4"/>
    <n v="0"/>
    <n v="88778"/>
    <n v="0.42816592167838902"/>
    <s v="Moderate DTI"/>
    <x v="2"/>
    <n v="6"/>
    <x v="3"/>
    <s v="Chicago"/>
    <s v="Late"/>
    <s v="Missed"/>
    <s v="Late"/>
    <x v="2"/>
    <s v="On-time"/>
    <s v="Late"/>
  </r>
  <r>
    <s v="CUST0437"/>
    <n v="57"/>
    <n v="28807"/>
    <n v="794"/>
    <x v="2"/>
    <n v="0.28845687038598899"/>
    <x v="1"/>
    <n v="0"/>
    <n v="0"/>
    <n v="95136"/>
    <n v="0.37167987979895001"/>
    <s v="Moderate DTI"/>
    <x v="0"/>
    <n v="12"/>
    <x v="3"/>
    <s v="Chicago"/>
    <s v="Missed"/>
    <s v="Late"/>
    <s v="On-time"/>
    <x v="1"/>
    <s v="Late"/>
    <s v="Missed"/>
  </r>
  <r>
    <s v="CUST0438"/>
    <n v="63"/>
    <n v="107658"/>
    <n v="799"/>
    <x v="2"/>
    <n v="0.49179691579930701"/>
    <x v="0"/>
    <n v="2"/>
    <n v="0"/>
    <n v="41743"/>
    <n v="0.1"/>
    <s v="Low DTI"/>
    <x v="0"/>
    <n v="14"/>
    <x v="2"/>
    <s v="Houston"/>
    <s v="Missed"/>
    <s v="On-time"/>
    <s v="Late"/>
    <x v="2"/>
    <s v="Late"/>
    <s v="On-time"/>
  </r>
  <r>
    <s v="CUST0439"/>
    <n v="41"/>
    <n v="20569"/>
    <n v="427"/>
    <x v="0"/>
    <n v="0.315497453924583"/>
    <x v="0"/>
    <n v="3"/>
    <n v="0"/>
    <n v="87110"/>
    <n v="0.33763217770311799"/>
    <s v="Moderate DTI"/>
    <x v="0"/>
    <n v="0"/>
    <x v="0"/>
    <s v="Phoenix"/>
    <s v="Late"/>
    <s v="On-time"/>
    <s v="On-time"/>
    <x v="0"/>
    <s v="On-time"/>
    <s v="On-time"/>
  </r>
  <r>
    <s v="CUST0440"/>
    <n v="67"/>
    <n v="25916"/>
    <n v="762"/>
    <x v="2"/>
    <n v="0.73474539954851703"/>
    <x v="2"/>
    <n v="1"/>
    <n v="0"/>
    <n v="45776"/>
    <n v="0.331121589795148"/>
    <s v="Moderate DTI"/>
    <x v="0"/>
    <n v="10"/>
    <x v="2"/>
    <s v="Los Angeles"/>
    <s v="Missed"/>
    <s v="Missed"/>
    <s v="Late"/>
    <x v="2"/>
    <s v="Missed"/>
    <s v="Late"/>
  </r>
  <r>
    <s v="CUST0441"/>
    <n v="49"/>
    <n v="127566"/>
    <n v="328"/>
    <x v="0"/>
    <n v="0.32761592439683501"/>
    <x v="0"/>
    <n v="5"/>
    <n v="0"/>
    <n v="82438"/>
    <n v="0.31331069024639602"/>
    <s v="Moderate DTI"/>
    <x v="0"/>
    <n v="9"/>
    <x v="4"/>
    <s v="Phoenix"/>
    <s v="Missed"/>
    <s v="Missed"/>
    <s v="Missed"/>
    <x v="1"/>
    <s v="Missed"/>
    <s v="Missed"/>
  </r>
  <r>
    <s v="CUST0442"/>
    <n v="64"/>
    <n v="33888"/>
    <n v="398"/>
    <x v="0"/>
    <n v="0.57270918813747196"/>
    <x v="0"/>
    <n v="0"/>
    <n v="0"/>
    <n v="1806"/>
    <n v="0.286775694587661"/>
    <s v="Low DTI"/>
    <x v="1"/>
    <n v="4"/>
    <x v="1"/>
    <s v="New York"/>
    <s v="Missed"/>
    <s v="Late"/>
    <s v="Late"/>
    <x v="2"/>
    <s v="On-time"/>
    <s v="Missed"/>
  </r>
  <r>
    <s v="CUST0443"/>
    <n v="39"/>
    <n v="152162"/>
    <n v="446"/>
    <x v="0"/>
    <n v="0.37931554024805503"/>
    <x v="0"/>
    <n v="1"/>
    <n v="0"/>
    <n v="4106"/>
    <n v="0.140785647220567"/>
    <s v="Low DTI"/>
    <x v="0"/>
    <n v="15"/>
    <x v="0"/>
    <s v="Los Angeles"/>
    <s v="On-time"/>
    <s v="Late"/>
    <s v="On-time"/>
    <x v="2"/>
    <s v="On-time"/>
    <s v="On-time"/>
  </r>
  <r>
    <s v="CUST0444"/>
    <n v="40"/>
    <n v="170026"/>
    <n v="788"/>
    <x v="2"/>
    <n v="0.55541255008750201"/>
    <x v="0"/>
    <n v="2"/>
    <n v="0"/>
    <n v="95376"/>
    <n v="0.387417691723832"/>
    <s v="Moderate DTI"/>
    <x v="0"/>
    <n v="10"/>
    <x v="1"/>
    <s v="Chicago"/>
    <s v="On-time"/>
    <s v="Missed"/>
    <s v="On-time"/>
    <x v="0"/>
    <s v="On-time"/>
    <s v="On-time"/>
  </r>
  <r>
    <s v="CUST0445"/>
    <n v="19"/>
    <n v="51187"/>
    <n v="549"/>
    <x v="0"/>
    <n v="0.39520068530892799"/>
    <x v="0"/>
    <n v="4"/>
    <n v="0"/>
    <n v="65387"/>
    <n v="0.33737684280934899"/>
    <s v="Moderate DTI"/>
    <x v="0"/>
    <n v="5"/>
    <x v="4"/>
    <s v="Houston"/>
    <s v="Missed"/>
    <s v="Late"/>
    <s v="Late"/>
    <x v="2"/>
    <s v="Missed"/>
    <s v="Missed"/>
  </r>
  <r>
    <s v="CUST0446"/>
    <n v="44"/>
    <n v="108396"/>
    <n v="378"/>
    <x v="0"/>
    <n v="0.24855774502849201"/>
    <x v="1"/>
    <n v="6"/>
    <n v="1"/>
    <n v="85678"/>
    <n v="0.41019566973974197"/>
    <s v="Moderate DTI"/>
    <x v="0"/>
    <n v="8"/>
    <x v="4"/>
    <s v="Houston"/>
    <s v="On-time"/>
    <s v="Late"/>
    <s v="On-time"/>
    <x v="0"/>
    <s v="Missed"/>
    <s v="On-time"/>
  </r>
  <r>
    <s v="CUST0447"/>
    <n v="59"/>
    <n v="16062"/>
    <n v="690"/>
    <x v="1"/>
    <n v="0.59675454819036899"/>
    <x v="0"/>
    <n v="4"/>
    <n v="0"/>
    <n v="73117"/>
    <n v="0.146124447572474"/>
    <s v="Low DTI"/>
    <x v="0"/>
    <n v="12"/>
    <x v="1"/>
    <s v="Chicago"/>
    <s v="Missed"/>
    <s v="On-time"/>
    <s v="On-time"/>
    <x v="1"/>
    <s v="Missed"/>
    <s v="On-time"/>
  </r>
  <r>
    <s v="CUST0448"/>
    <n v="19"/>
    <n v="167617"/>
    <n v="700"/>
    <x v="1"/>
    <n v="0.452916875617355"/>
    <x v="0"/>
    <n v="3"/>
    <n v="0"/>
    <n v="52256"/>
    <n v="0.350713448954526"/>
    <s v="Moderate DTI"/>
    <x v="3"/>
    <n v="7"/>
    <x v="1"/>
    <s v="New York"/>
    <s v="Missed"/>
    <s v="Missed"/>
    <s v="Late"/>
    <x v="2"/>
    <s v="Missed"/>
    <s v="Missed"/>
  </r>
  <r>
    <s v="CUST0449"/>
    <n v="43"/>
    <n v="187627"/>
    <n v="584"/>
    <x v="0"/>
    <n v="0.55719698814449103"/>
    <x v="0"/>
    <n v="4"/>
    <n v="0"/>
    <n v="10778"/>
    <n v="0.27653406624534299"/>
    <s v="Low DTI"/>
    <x v="0"/>
    <n v="13"/>
    <x v="1"/>
    <s v="Chicago"/>
    <s v="On-time"/>
    <s v="On-time"/>
    <s v="Missed"/>
    <x v="1"/>
    <s v="Missed"/>
    <s v="On-time"/>
  </r>
  <r>
    <s v="CUST0450"/>
    <n v="34"/>
    <n v="115235"/>
    <n v="781"/>
    <x v="2"/>
    <n v="0.41423141287391202"/>
    <x v="0"/>
    <n v="0"/>
    <n v="0"/>
    <n v="62010"/>
    <n v="0.314378800992552"/>
    <s v="Moderate DTI"/>
    <x v="0"/>
    <n v="0"/>
    <x v="4"/>
    <s v="New York"/>
    <s v="Missed"/>
    <s v="Late"/>
    <s v="On-time"/>
    <x v="2"/>
    <s v="Late"/>
    <s v="Missed"/>
  </r>
  <r>
    <s v="CUST0451"/>
    <n v="57"/>
    <n v="107658"/>
    <n v="528"/>
    <x v="0"/>
    <n v="0.234412697246309"/>
    <x v="1"/>
    <n v="4"/>
    <n v="0"/>
    <n v="29845"/>
    <n v="0.27768403658190999"/>
    <s v="Low DTI"/>
    <x v="0"/>
    <n v="16"/>
    <x v="3"/>
    <s v="Los Angeles"/>
    <s v="On-time"/>
    <s v="Late"/>
    <s v="On-time"/>
    <x v="2"/>
    <s v="On-time"/>
    <s v="Missed"/>
  </r>
  <r>
    <s v="CUST0452"/>
    <n v="50"/>
    <n v="99076"/>
    <n v="332"/>
    <x v="0"/>
    <n v="0.71663571941125104"/>
    <x v="2"/>
    <n v="3"/>
    <n v="0"/>
    <n v="62010"/>
    <n v="0.35436079274801202"/>
    <s v="Moderate DTI"/>
    <x v="0"/>
    <n v="4"/>
    <x v="1"/>
    <s v="Chicago"/>
    <s v="On-time"/>
    <s v="Missed"/>
    <s v="Missed"/>
    <x v="2"/>
    <s v="Missed"/>
    <s v="Missed"/>
  </r>
  <r>
    <s v="CUST0453"/>
    <n v="26"/>
    <n v="190333"/>
    <n v="462"/>
    <x v="0"/>
    <n v="0.64735155108821696"/>
    <x v="0"/>
    <n v="5"/>
    <n v="1"/>
    <n v="29416"/>
    <n v="0.28371268790084198"/>
    <s v="Low DTI"/>
    <x v="0"/>
    <n v="1"/>
    <x v="0"/>
    <s v="New York"/>
    <s v="Late"/>
    <s v="Late"/>
    <s v="Missed"/>
    <x v="1"/>
    <s v="Late"/>
    <s v="Missed"/>
  </r>
  <r>
    <s v="CUST0454"/>
    <n v="60"/>
    <n v="65612"/>
    <n v="588"/>
    <x v="0"/>
    <n v="0.38660780488935098"/>
    <x v="0"/>
    <n v="2"/>
    <n v="0"/>
    <n v="45776"/>
    <n v="0.19480850749443099"/>
    <s v="Low DTI"/>
    <x v="1"/>
    <n v="8"/>
    <x v="4"/>
    <s v="Los Angeles"/>
    <s v="Missed"/>
    <s v="Missed"/>
    <s v="On-time"/>
    <x v="0"/>
    <s v="On-time"/>
    <s v="Missed"/>
  </r>
  <r>
    <s v="CUST0455"/>
    <n v="71"/>
    <n v="162851"/>
    <n v="622"/>
    <x v="1"/>
    <n v="0.51395584269975902"/>
    <x v="0"/>
    <n v="6"/>
    <n v="0"/>
    <n v="77743"/>
    <n v="0.308642541878619"/>
    <s v="Moderate DTI"/>
    <x v="0"/>
    <n v="3"/>
    <x v="2"/>
    <s v="Chicago"/>
    <s v="On-time"/>
    <s v="Missed"/>
    <s v="Late"/>
    <x v="0"/>
    <s v="Missed"/>
    <s v="Missed"/>
  </r>
  <r>
    <s v="CUST0456"/>
    <n v="65"/>
    <n v="75566"/>
    <n v="338"/>
    <x v="0"/>
    <n v="0.70840389663258696"/>
    <x v="2"/>
    <n v="2"/>
    <n v="0"/>
    <n v="83236"/>
    <n v="0.27858254628644902"/>
    <s v="Low DTI"/>
    <x v="1"/>
    <n v="16"/>
    <x v="2"/>
    <s v="Houston"/>
    <s v="Late"/>
    <s v="Missed"/>
    <s v="Late"/>
    <x v="2"/>
    <s v="Late"/>
    <s v="On-time"/>
  </r>
  <r>
    <s v="CUST0457"/>
    <n v="56"/>
    <n v="177993"/>
    <n v="739"/>
    <x v="1"/>
    <n v="0.40859233282752"/>
    <x v="0"/>
    <n v="4"/>
    <n v="0"/>
    <n v="24120"/>
    <n v="0.291660637887111"/>
    <s v="Low DTI"/>
    <x v="1"/>
    <n v="16"/>
    <x v="0"/>
    <s v="Chicago"/>
    <s v="Late"/>
    <s v="Late"/>
    <s v="Missed"/>
    <x v="2"/>
    <s v="Late"/>
    <s v="On-time"/>
  </r>
  <r>
    <s v="CUST0458"/>
    <n v="46"/>
    <n v="38049"/>
    <n v="758"/>
    <x v="2"/>
    <n v="0.439623098961889"/>
    <x v="0"/>
    <n v="1"/>
    <n v="0"/>
    <n v="71588"/>
    <n v="0.1"/>
    <s v="Low DTI"/>
    <x v="0"/>
    <n v="17"/>
    <x v="3"/>
    <s v="Phoenix"/>
    <s v="Late"/>
    <s v="Missed"/>
    <s v="Late"/>
    <x v="1"/>
    <s v="Late"/>
    <s v="On-time"/>
  </r>
  <r>
    <s v="CUST0459"/>
    <n v="59"/>
    <n v="107658"/>
    <n v="350"/>
    <x v="0"/>
    <n v="0.54872650000147405"/>
    <x v="0"/>
    <n v="2"/>
    <n v="0"/>
    <n v="24835"/>
    <n v="0.36826360835687"/>
    <s v="Moderate DTI"/>
    <x v="3"/>
    <n v="15"/>
    <x v="1"/>
    <s v="Chicago"/>
    <s v="Missed"/>
    <s v="Late"/>
    <s v="On-time"/>
    <x v="2"/>
    <s v="Missed"/>
    <s v="Late"/>
  </r>
  <r>
    <s v="CUST0460"/>
    <n v="72"/>
    <n v="125448"/>
    <n v="354"/>
    <x v="0"/>
    <n v="0.408181787289082"/>
    <x v="0"/>
    <n v="5"/>
    <n v="0"/>
    <n v="45776"/>
    <n v="0.26853363826532101"/>
    <s v="Low DTI"/>
    <x v="2"/>
    <n v="7"/>
    <x v="4"/>
    <s v="Phoenix"/>
    <s v="Late"/>
    <s v="Late"/>
    <s v="Late"/>
    <x v="1"/>
    <s v="Late"/>
    <s v="Missed"/>
  </r>
  <r>
    <s v="CUST0461"/>
    <n v="43"/>
    <n v="146800"/>
    <n v="459"/>
    <x v="0"/>
    <n v="0.671418399397404"/>
    <x v="0"/>
    <n v="4"/>
    <n v="1"/>
    <n v="17913"/>
    <n v="0.165184642598173"/>
    <s v="Low DTI"/>
    <x v="0"/>
    <n v="10"/>
    <x v="1"/>
    <s v="Los Angeles"/>
    <s v="Missed"/>
    <s v="Missed"/>
    <s v="On-time"/>
    <x v="2"/>
    <s v="Late"/>
    <s v="Missed"/>
  </r>
  <r>
    <s v="CUST0462"/>
    <n v="52"/>
    <n v="134180"/>
    <n v="757"/>
    <x v="2"/>
    <n v="0.46621984393851201"/>
    <x v="0"/>
    <n v="6"/>
    <n v="0"/>
    <n v="16693"/>
    <n v="0.39225635168481399"/>
    <s v="Moderate DTI"/>
    <x v="0"/>
    <n v="17"/>
    <x v="4"/>
    <s v="Chicago"/>
    <s v="Late"/>
    <s v="Missed"/>
    <s v="Late"/>
    <x v="1"/>
    <s v="Missed"/>
    <s v="On-time"/>
  </r>
  <r>
    <s v="CUST0463"/>
    <n v="67"/>
    <n v="64922"/>
    <n v="658"/>
    <x v="1"/>
    <n v="0.34319282500120502"/>
    <x v="0"/>
    <n v="3"/>
    <n v="0"/>
    <n v="67397"/>
    <n v="0.36363657277529299"/>
    <s v="Moderate DTI"/>
    <x v="3"/>
    <n v="9"/>
    <x v="2"/>
    <s v="Los Angeles"/>
    <s v="On-time"/>
    <s v="Late"/>
    <s v="Late"/>
    <x v="1"/>
    <s v="On-time"/>
    <s v="On-time"/>
  </r>
  <r>
    <s v="CUST0464"/>
    <n v="42"/>
    <n v="107658"/>
    <n v="837"/>
    <x v="2"/>
    <n v="0.62172776597479895"/>
    <x v="0"/>
    <n v="5"/>
    <n v="0"/>
    <n v="45776"/>
    <n v="0.26726798037251398"/>
    <s v="Low DTI"/>
    <x v="3"/>
    <n v="12"/>
    <x v="1"/>
    <s v="Los Angeles"/>
    <s v="On-time"/>
    <s v="Missed"/>
    <s v="On-time"/>
    <x v="0"/>
    <s v="Late"/>
    <s v="Late"/>
  </r>
  <r>
    <s v="CUST0465"/>
    <n v="41"/>
    <n v="24435"/>
    <n v="766"/>
    <x v="2"/>
    <n v="0.27157387011373002"/>
    <x v="1"/>
    <n v="4"/>
    <n v="0"/>
    <n v="60530"/>
    <n v="0.18478306204799799"/>
    <s v="Low DTI"/>
    <x v="0"/>
    <n v="16"/>
    <x v="0"/>
    <s v="New York"/>
    <s v="Missed"/>
    <s v="On-time"/>
    <s v="Missed"/>
    <x v="1"/>
    <s v="Missed"/>
    <s v="Late"/>
  </r>
  <r>
    <s v="CUST0466"/>
    <n v="30"/>
    <n v="107658"/>
    <n v="664"/>
    <x v="1"/>
    <n v="0.90297571222484196"/>
    <x v="2"/>
    <n v="5"/>
    <n v="0"/>
    <n v="45776"/>
    <n v="0.31780307346793701"/>
    <s v="Moderate DTI"/>
    <x v="2"/>
    <n v="17"/>
    <x v="3"/>
    <s v="Los Angeles"/>
    <s v="Missed"/>
    <s v="Missed"/>
    <s v="Missed"/>
    <x v="0"/>
    <s v="On-time"/>
    <s v="On-time"/>
  </r>
  <r>
    <s v="CUST0467"/>
    <n v="24"/>
    <n v="193998"/>
    <n v="700"/>
    <x v="1"/>
    <n v="0.81649927271603995"/>
    <x v="2"/>
    <n v="2"/>
    <n v="0"/>
    <n v="18952"/>
    <n v="0.31231060845876002"/>
    <s v="Moderate DTI"/>
    <x v="3"/>
    <n v="9"/>
    <x v="0"/>
    <s v="Los Angeles"/>
    <s v="Missed"/>
    <s v="On-time"/>
    <s v="On-time"/>
    <x v="0"/>
    <s v="Late"/>
    <s v="Missed"/>
  </r>
  <r>
    <s v="CUST0468"/>
    <n v="74"/>
    <n v="164143"/>
    <n v="580"/>
    <x v="0"/>
    <n v="0.60269909538420297"/>
    <x v="0"/>
    <n v="6"/>
    <n v="0"/>
    <n v="44449"/>
    <n v="0.39243342829917799"/>
    <s v="Moderate DTI"/>
    <x v="1"/>
    <n v="15"/>
    <x v="3"/>
    <s v="Chicago"/>
    <s v="Missed"/>
    <s v="Late"/>
    <s v="On-time"/>
    <x v="1"/>
    <s v="Missed"/>
    <s v="Late"/>
  </r>
  <r>
    <s v="CUST0469"/>
    <n v="53"/>
    <n v="191615"/>
    <n v="796"/>
    <x v="2"/>
    <n v="0.58586620436397996"/>
    <x v="0"/>
    <n v="3"/>
    <n v="0"/>
    <n v="42551"/>
    <n v="0.25562644851395"/>
    <s v="Low DTI"/>
    <x v="2"/>
    <n v="19"/>
    <x v="1"/>
    <s v="Chicago"/>
    <s v="Late"/>
    <s v="Late"/>
    <s v="On-time"/>
    <x v="0"/>
    <s v="Late"/>
    <s v="Late"/>
  </r>
  <r>
    <s v="CUST0470"/>
    <n v="62"/>
    <n v="75566"/>
    <n v="845"/>
    <x v="2"/>
    <n v="0.57648828356385895"/>
    <x v="0"/>
    <n v="4"/>
    <n v="0"/>
    <n v="82482"/>
    <n v="0.41949221348649901"/>
    <s v="Moderate DTI"/>
    <x v="0"/>
    <n v="4"/>
    <x v="1"/>
    <s v="Houston"/>
    <s v="Late"/>
    <s v="Late"/>
    <s v="Late"/>
    <x v="1"/>
    <s v="Late"/>
    <s v="Missed"/>
  </r>
  <r>
    <s v="CUST0471"/>
    <n v="37"/>
    <n v="167424"/>
    <n v="813"/>
    <x v="2"/>
    <n v="0.40218104281621803"/>
    <x v="0"/>
    <n v="0"/>
    <n v="0"/>
    <n v="33772"/>
    <n v="0.24597469966642299"/>
    <s v="Low DTI"/>
    <x v="2"/>
    <n v="12"/>
    <x v="3"/>
    <s v="New York"/>
    <s v="On-time"/>
    <s v="On-time"/>
    <s v="Missed"/>
    <x v="0"/>
    <s v="Missed"/>
    <s v="On-time"/>
  </r>
  <r>
    <s v="CUST0472"/>
    <n v="18"/>
    <n v="53513"/>
    <n v="617"/>
    <x v="1"/>
    <n v="0.55946192913616799"/>
    <x v="0"/>
    <n v="3"/>
    <n v="0"/>
    <n v="43870"/>
    <n v="0.16541682154575699"/>
    <s v="Low DTI"/>
    <x v="0"/>
    <n v="17"/>
    <x v="2"/>
    <s v="Los Angeles"/>
    <s v="Late"/>
    <s v="On-time"/>
    <s v="On-time"/>
    <x v="1"/>
    <s v="On-time"/>
    <s v="Late"/>
  </r>
  <r>
    <s v="CUST0473"/>
    <n v="25"/>
    <n v="155932"/>
    <n v="754"/>
    <x v="2"/>
    <n v="0.31537347790843001"/>
    <x v="0"/>
    <n v="0"/>
    <n v="0"/>
    <n v="23685"/>
    <n v="0.186771724452271"/>
    <s v="Low DTI"/>
    <x v="2"/>
    <n v="16"/>
    <x v="4"/>
    <s v="New York"/>
    <s v="On-time"/>
    <s v="Late"/>
    <s v="Late"/>
    <x v="1"/>
    <s v="On-time"/>
    <s v="Missed"/>
  </r>
  <r>
    <s v="CUST0474"/>
    <n v="63"/>
    <n v="107658"/>
    <n v="475"/>
    <x v="0"/>
    <n v="0.60076368368803601"/>
    <x v="0"/>
    <n v="5"/>
    <n v="0"/>
    <n v="75316"/>
    <n v="0.29375884608643799"/>
    <s v="Low DTI"/>
    <x v="1"/>
    <n v="8"/>
    <x v="0"/>
    <s v="Phoenix"/>
    <s v="Missed"/>
    <s v="On-time"/>
    <s v="Missed"/>
    <x v="0"/>
    <s v="Late"/>
    <s v="Late"/>
  </r>
  <r>
    <s v="CUST0475"/>
    <n v="33"/>
    <n v="38049"/>
    <n v="508"/>
    <x v="0"/>
    <n v="0.67356938860625903"/>
    <x v="0"/>
    <n v="1"/>
    <n v="0"/>
    <n v="60348"/>
    <n v="0.29344854909412599"/>
    <s v="Low DTI"/>
    <x v="0"/>
    <n v="13"/>
    <x v="0"/>
    <s v="Los Angeles"/>
    <s v="On-time"/>
    <s v="Late"/>
    <s v="On-time"/>
    <x v="0"/>
    <s v="Late"/>
    <s v="Late"/>
  </r>
  <r>
    <s v="CUST0476"/>
    <n v="31"/>
    <n v="169786"/>
    <n v="822"/>
    <x v="2"/>
    <n v="0.424382779803333"/>
    <x v="0"/>
    <n v="3"/>
    <n v="0"/>
    <n v="48437"/>
    <n v="0.33278611407507702"/>
    <s v="Moderate DTI"/>
    <x v="0"/>
    <n v="16"/>
    <x v="0"/>
    <s v="New York"/>
    <s v="Late"/>
    <s v="Missed"/>
    <s v="Late"/>
    <x v="2"/>
    <s v="On-time"/>
    <s v="Missed"/>
  </r>
  <r>
    <s v="CUST0477"/>
    <n v="29"/>
    <n v="52744"/>
    <n v="796"/>
    <x v="2"/>
    <n v="0.38097964116905603"/>
    <x v="0"/>
    <n v="5"/>
    <n v="0"/>
    <n v="44439"/>
    <n v="0.29096259688815501"/>
    <s v="Low DTI"/>
    <x v="0"/>
    <n v="3"/>
    <x v="1"/>
    <s v="Houston"/>
    <s v="On-time"/>
    <s v="Late"/>
    <s v="Missed"/>
    <x v="1"/>
    <s v="Missed"/>
    <s v="Late"/>
  </r>
  <r>
    <s v="CUST0478"/>
    <n v="68"/>
    <n v="24435"/>
    <n v="307"/>
    <x v="0"/>
    <n v="0.25750459507041801"/>
    <x v="1"/>
    <n v="0"/>
    <n v="1"/>
    <n v="20374"/>
    <n v="0.39773185160643199"/>
    <s v="Moderate DTI"/>
    <x v="0"/>
    <n v="17"/>
    <x v="0"/>
    <s v="Houston"/>
    <s v="On-time"/>
    <s v="On-time"/>
    <s v="Missed"/>
    <x v="0"/>
    <s v="Missed"/>
    <s v="On-time"/>
  </r>
  <r>
    <s v="CUST0479"/>
    <n v="40"/>
    <n v="87474"/>
    <n v="429"/>
    <x v="0"/>
    <n v="0.79159104671313796"/>
    <x v="2"/>
    <n v="2"/>
    <n v="0"/>
    <n v="26417"/>
    <n v="0.27389059015374201"/>
    <s v="Low DTI"/>
    <x v="2"/>
    <n v="19"/>
    <x v="4"/>
    <s v="Los Angeles"/>
    <s v="On-time"/>
    <s v="Late"/>
    <s v="Missed"/>
    <x v="2"/>
    <s v="On-time"/>
    <s v="On-time"/>
  </r>
  <r>
    <s v="CUST0480"/>
    <n v="32"/>
    <n v="86726"/>
    <n v="799"/>
    <x v="2"/>
    <n v="0.396867193231557"/>
    <x v="0"/>
    <n v="2"/>
    <n v="0"/>
    <n v="54622"/>
    <n v="0.10037237351285801"/>
    <s v="Low DTI"/>
    <x v="3"/>
    <n v="14"/>
    <x v="4"/>
    <s v="Phoenix"/>
    <s v="Late"/>
    <s v="On-time"/>
    <s v="On-time"/>
    <x v="1"/>
    <s v="Late"/>
    <s v="On-time"/>
  </r>
  <r>
    <s v="CUST0481"/>
    <n v="45"/>
    <n v="59482"/>
    <n v="346"/>
    <x v="0"/>
    <n v="0.46025219279667501"/>
    <x v="0"/>
    <n v="1"/>
    <n v="0"/>
    <n v="85678"/>
    <n v="0.28789033115342"/>
    <s v="Low DTI"/>
    <x v="0"/>
    <n v="10"/>
    <x v="3"/>
    <s v="Houston"/>
    <s v="Late"/>
    <s v="On-time"/>
    <s v="On-time"/>
    <x v="1"/>
    <s v="On-time"/>
    <s v="Late"/>
  </r>
  <r>
    <s v="CUST0482"/>
    <n v="51"/>
    <n v="59811"/>
    <n v="792"/>
    <x v="2"/>
    <n v="0.56003111699914498"/>
    <x v="0"/>
    <n v="3"/>
    <n v="0"/>
    <n v="45776"/>
    <n v="0.1"/>
    <s v="Low DTI"/>
    <x v="0"/>
    <n v="11"/>
    <x v="1"/>
    <s v="Houston"/>
    <s v="Late"/>
    <s v="Late"/>
    <s v="Late"/>
    <x v="2"/>
    <s v="On-time"/>
    <s v="Late"/>
  </r>
  <r>
    <s v="CUST0483"/>
    <n v="19"/>
    <n v="107658"/>
    <n v="766"/>
    <x v="2"/>
    <n v="0.55644152857798601"/>
    <x v="0"/>
    <n v="3"/>
    <n v="0"/>
    <n v="45776"/>
    <n v="0.32713909809976899"/>
    <s v="Moderate DTI"/>
    <x v="0"/>
    <n v="8"/>
    <x v="4"/>
    <s v="Phoenix"/>
    <s v="Missed"/>
    <s v="On-time"/>
    <s v="Late"/>
    <x v="0"/>
    <s v="Missed"/>
    <s v="Late"/>
  </r>
  <r>
    <s v="CUST0484"/>
    <n v="49"/>
    <n v="147396"/>
    <n v="401"/>
    <x v="0"/>
    <n v="0.64931201913621395"/>
    <x v="0"/>
    <n v="3"/>
    <n v="0"/>
    <n v="7468"/>
    <n v="0.40571929989849098"/>
    <s v="Moderate DTI"/>
    <x v="0"/>
    <n v="12"/>
    <x v="2"/>
    <s v="New York"/>
    <s v="Missed"/>
    <s v="On-time"/>
    <s v="On-time"/>
    <x v="0"/>
    <s v="Missed"/>
    <s v="On-time"/>
  </r>
  <r>
    <s v="CUST0485"/>
    <n v="40"/>
    <n v="116570"/>
    <n v="556"/>
    <x v="0"/>
    <n v="0.42413401603233403"/>
    <x v="0"/>
    <n v="5"/>
    <n v="0"/>
    <n v="76567"/>
    <n v="0.20137755137174801"/>
    <s v="Low DTI"/>
    <x v="0"/>
    <n v="14"/>
    <x v="1"/>
    <s v="Houston"/>
    <s v="Missed"/>
    <s v="On-time"/>
    <s v="Late"/>
    <x v="1"/>
    <s v="On-time"/>
    <s v="On-time"/>
  </r>
  <r>
    <s v="CUST0486"/>
    <n v="39"/>
    <n v="39285"/>
    <n v="567"/>
    <x v="0"/>
    <n v="0.272266412305817"/>
    <x v="1"/>
    <n v="6"/>
    <n v="0"/>
    <n v="37463"/>
    <n v="0.44185566863918502"/>
    <s v="Moderate DTI"/>
    <x v="0"/>
    <n v="14"/>
    <x v="1"/>
    <s v="Chicago"/>
    <s v="Missed"/>
    <s v="Missed"/>
    <s v="On-time"/>
    <x v="0"/>
    <s v="Missed"/>
    <s v="Late"/>
  </r>
  <r>
    <s v="CUST0487"/>
    <n v="68"/>
    <n v="43732"/>
    <n v="524"/>
    <x v="0"/>
    <n v="0.23726693820553599"/>
    <x v="1"/>
    <n v="6"/>
    <n v="0"/>
    <n v="53553"/>
    <n v="0.38428312447284302"/>
    <s v="Moderate DTI"/>
    <x v="3"/>
    <n v="4"/>
    <x v="4"/>
    <s v="Houston"/>
    <s v="On-time"/>
    <s v="Late"/>
    <s v="On-time"/>
    <x v="2"/>
    <s v="On-time"/>
    <s v="On-time"/>
  </r>
  <r>
    <s v="CUST0488"/>
    <n v="42"/>
    <n v="188420"/>
    <n v="550"/>
    <x v="0"/>
    <n v="0.38414895343143002"/>
    <x v="0"/>
    <n v="1"/>
    <n v="0"/>
    <n v="86846"/>
    <n v="0.42064801554150499"/>
    <s v="Moderate DTI"/>
    <x v="2"/>
    <n v="18"/>
    <x v="2"/>
    <s v="New York"/>
    <s v="On-time"/>
    <s v="Missed"/>
    <s v="Late"/>
    <x v="1"/>
    <s v="Missed"/>
    <s v="On-time"/>
  </r>
  <r>
    <s v="CUST0489"/>
    <n v="39"/>
    <n v="115497"/>
    <n v="665"/>
    <x v="1"/>
    <n v="0.30962990506507498"/>
    <x v="0"/>
    <n v="3"/>
    <n v="0"/>
    <n v="64110"/>
    <n v="0.31895638564346301"/>
    <s v="Moderate DTI"/>
    <x v="1"/>
    <n v="19"/>
    <x v="3"/>
    <s v="New York"/>
    <s v="Late"/>
    <s v="Missed"/>
    <s v="Late"/>
    <x v="2"/>
    <s v="On-time"/>
    <s v="Missed"/>
  </r>
  <r>
    <s v="CUST0490"/>
    <n v="39"/>
    <n v="153877"/>
    <n v="618"/>
    <x v="1"/>
    <n v="0.43927665893844797"/>
    <x v="0"/>
    <n v="5"/>
    <n v="0"/>
    <n v="36029"/>
    <n v="0.200723482424817"/>
    <s v="Low DTI"/>
    <x v="0"/>
    <n v="13"/>
    <x v="4"/>
    <s v="Los Angeles"/>
    <s v="On-time"/>
    <s v="Missed"/>
    <s v="On-time"/>
    <x v="2"/>
    <s v="Late"/>
    <s v="On-time"/>
  </r>
  <r>
    <s v="CUST0491"/>
    <n v="66"/>
    <n v="54954"/>
    <n v="825"/>
    <x v="2"/>
    <n v="0.76151576215199601"/>
    <x v="2"/>
    <n v="2"/>
    <n v="0"/>
    <n v="77743"/>
    <n v="0.37808154278141298"/>
    <s v="Moderate DTI"/>
    <x v="1"/>
    <n v="16"/>
    <x v="2"/>
    <s v="Chicago"/>
    <s v="Late"/>
    <s v="Missed"/>
    <s v="On-time"/>
    <x v="2"/>
    <s v="Missed"/>
    <s v="On-time"/>
  </r>
  <r>
    <s v="CUST0492"/>
    <n v="69"/>
    <n v="177993"/>
    <n v="818"/>
    <x v="2"/>
    <n v="0.42454435882326202"/>
    <x v="0"/>
    <n v="0"/>
    <n v="0"/>
    <n v="32630"/>
    <n v="0.23753990932316599"/>
    <s v="Low DTI"/>
    <x v="0"/>
    <n v="17"/>
    <x v="1"/>
    <s v="New York"/>
    <s v="Missed"/>
    <s v="Missed"/>
    <s v="Missed"/>
    <x v="0"/>
    <s v="Late"/>
    <s v="On-time"/>
  </r>
  <r>
    <s v="CUST0493"/>
    <n v="59"/>
    <n v="191517"/>
    <n v="813"/>
    <x v="2"/>
    <n v="0.424469827733088"/>
    <x v="0"/>
    <n v="5"/>
    <n v="0"/>
    <n v="23047"/>
    <n v="0.311788450610335"/>
    <s v="Moderate DTI"/>
    <x v="2"/>
    <n v="2"/>
    <x v="2"/>
    <s v="Phoenix"/>
    <s v="Missed"/>
    <s v="Missed"/>
    <s v="Late"/>
    <x v="0"/>
    <s v="On-time"/>
    <s v="Late"/>
  </r>
  <r>
    <s v="CUST0494"/>
    <n v="23"/>
    <n v="168487"/>
    <n v="306"/>
    <x v="0"/>
    <n v="0.49672024474884202"/>
    <x v="0"/>
    <n v="6"/>
    <n v="0"/>
    <n v="5539"/>
    <n v="0.28286490071963799"/>
    <s v="Low DTI"/>
    <x v="2"/>
    <n v="1"/>
    <x v="1"/>
    <s v="Chicago"/>
    <s v="Missed"/>
    <s v="On-time"/>
    <s v="On-time"/>
    <x v="2"/>
    <s v="Missed"/>
    <s v="On-time"/>
  </r>
  <r>
    <s v="CUST0495"/>
    <n v="32"/>
    <n v="107658"/>
    <n v="811"/>
    <x v="2"/>
    <n v="0.41887500175758602"/>
    <x v="0"/>
    <n v="6"/>
    <n v="1"/>
    <n v="16699"/>
    <n v="0.412469585679689"/>
    <s v="Moderate DTI"/>
    <x v="0"/>
    <n v="0"/>
    <x v="4"/>
    <s v="Chicago"/>
    <s v="Late"/>
    <s v="Late"/>
    <s v="Late"/>
    <x v="2"/>
    <s v="On-time"/>
    <s v="On-time"/>
  </r>
  <r>
    <s v="CUST0496"/>
    <n v="71"/>
    <n v="48307"/>
    <n v="688"/>
    <x v="1"/>
    <n v="0.48652175285636101"/>
    <x v="0"/>
    <n v="2"/>
    <n v="0"/>
    <n v="12707"/>
    <n v="0.37303270059233201"/>
    <s v="Moderate DTI"/>
    <x v="3"/>
    <n v="9"/>
    <x v="4"/>
    <s v="Phoenix"/>
    <s v="On-time"/>
    <s v="On-time"/>
    <s v="Missed"/>
    <x v="2"/>
    <s v="On-time"/>
    <s v="Late"/>
  </r>
  <r>
    <s v="CUST0497"/>
    <n v="60"/>
    <n v="86180"/>
    <n v="836"/>
    <x v="2"/>
    <n v="0.60817384449626899"/>
    <x v="0"/>
    <n v="2"/>
    <n v="1"/>
    <n v="45595"/>
    <n v="0.29194342016876201"/>
    <s v="Low DTI"/>
    <x v="2"/>
    <n v="18"/>
    <x v="0"/>
    <s v="Houston"/>
    <s v="On-time"/>
    <s v="On-time"/>
    <s v="Late"/>
    <x v="0"/>
    <s v="Late"/>
    <s v="Missed"/>
  </r>
  <r>
    <s v="CUST0498"/>
    <n v="54"/>
    <n v="152326"/>
    <n v="847"/>
    <x v="2"/>
    <n v="0.67695021095266195"/>
    <x v="0"/>
    <n v="0"/>
    <n v="0"/>
    <n v="44449"/>
    <n v="0.104839280645984"/>
    <s v="Low DTI"/>
    <x v="0"/>
    <n v="16"/>
    <x v="0"/>
    <s v="Phoenix"/>
    <s v="On-time"/>
    <s v="Late"/>
    <s v="Late"/>
    <x v="2"/>
    <s v="Late"/>
    <s v="Missed"/>
  </r>
  <r>
    <s v="CUST0499"/>
    <n v="50"/>
    <n v="105852"/>
    <n v="343"/>
    <x v="0"/>
    <n v="0.70064263994780396"/>
    <x v="2"/>
    <n v="2"/>
    <n v="1"/>
    <n v="11155"/>
    <n v="0.236477253347079"/>
    <s v="Low DTI"/>
    <x v="0"/>
    <n v="11"/>
    <x v="0"/>
    <s v="Phoenix"/>
    <s v="Late"/>
    <s v="On-time"/>
    <s v="Late"/>
    <x v="1"/>
    <s v="On-time"/>
    <s v="Missed"/>
  </r>
  <r>
    <s v="CUST0500"/>
    <n v="25"/>
    <n v="40945"/>
    <n v="442"/>
    <x v="0"/>
    <n v="0.91137044414620405"/>
    <x v="2"/>
    <n v="1"/>
    <n v="0"/>
    <n v="36968"/>
    <n v="0.37042222894844101"/>
    <s v="Moderate DTI"/>
    <x v="1"/>
    <n v="0"/>
    <x v="4"/>
    <s v="Houston"/>
    <s v="Missed"/>
    <s v="Late"/>
    <s v="Late"/>
    <x v="2"/>
    <s v="Late"/>
    <s v="On-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E2932-C394-4E3A-B5D8-39A826548FEA}" name="PivotTable8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rd Type">
  <location ref="G16:H20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702FA-5145-4BC6-A6F7-9247950746C4}" name="PivotTable7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Employment Status">
  <location ref="D16:E2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m="1"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Sum of Delinquent_Ac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01BE9-9BA2-4EA9-9407-9FD7730B53E5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isk_Segment">
  <location ref="A2:B6" firstHeaderRow="1" firstDataRow="1" firstDataCol="1"/>
  <pivotFields count="22"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Delinquent_Ac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C8CE6-60CD-441F-8713-8824A03F9B90}" name="PivotTable6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reditcard Types">
  <location ref="A16:B22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Sum of Delinquent_Ac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672EA-EB0C-4DC0-A3A1-105831113A58}" name="PivotTable4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Utilization_Category">
  <location ref="D9:E13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A40E3-F237-43D6-8A86-AF8E98ACB629}" name="PivotTable3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Utilization_Category">
  <location ref="A9:B13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Delinquent_Ac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7102E-455A-4A79-9554-B7C770DF1987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isk_Segment">
  <location ref="D2:E6" firstHeaderRow="1" firstDataRow="1" firstDataCol="1"/>
  <pivotFields count="22">
    <pivotField dataField="1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0B74B-A8E3-4A4B-BC05-0DEB7140BF3E}" name="Table1" displayName="Table1" ref="A1:S501" totalsRowShown="0">
  <tableColumns count="19">
    <tableColumn id="1" xr3:uid="{5DAEB0EA-8A65-42CE-A6E6-C9F81021EEDA}" name="Customer_ID"/>
    <tableColumn id="2" xr3:uid="{1446FA04-6939-4309-BF00-05C14CE56DDA}" name="Age"/>
    <tableColumn id="3" xr3:uid="{FFD2083B-A95E-4CBA-AAAE-6D3D410A3700}" name="Income"/>
    <tableColumn id="4" xr3:uid="{9DF485A2-93BF-473F-A620-A98F9C9359F6}" name="Credit_Score"/>
    <tableColumn id="5" xr3:uid="{6B126781-56EB-4A12-A803-D7EEB9430567}" name="Credit_Utilization"/>
    <tableColumn id="6" xr3:uid="{C6616C72-9498-4142-B81E-AD25C8D9753F}" name="Missed_Payments"/>
    <tableColumn id="7" xr3:uid="{31372689-6E7F-4F57-A6A4-63AFF58E7464}" name="Delinquent_Account"/>
    <tableColumn id="8" xr3:uid="{2702E6F8-07EF-42EE-A9D2-38065EB6279E}" name="Loan_Balance"/>
    <tableColumn id="9" xr3:uid="{89B69330-E71E-43CE-99FE-060F13D38156}" name="Debt_to_Income_Ratio"/>
    <tableColumn id="10" xr3:uid="{7609E00E-F300-46B0-AB8F-072132692693}" name="Employment_Status"/>
    <tableColumn id="11" xr3:uid="{3177A282-6C76-4FEA-B34F-546E38B15E6D}" name="Account_Tenure"/>
    <tableColumn id="12" xr3:uid="{802FE52A-56FE-4445-93AD-7A245384433D}" name="Credit_Card_Type"/>
    <tableColumn id="13" xr3:uid="{6CE25779-34EF-41A2-97FB-04340FB772D1}" name="Location"/>
    <tableColumn id="14" xr3:uid="{F10855A6-887E-4DDE-8301-09C5D6D9103F}" name="Month_1"/>
    <tableColumn id="15" xr3:uid="{9613C8DF-9D77-44E3-8628-FB5AAC404CFD}" name="Month_2"/>
    <tableColumn id="16" xr3:uid="{54957D87-8263-4338-9D46-5275D408FDCC}" name="Month_3"/>
    <tableColumn id="17" xr3:uid="{586B0B03-8694-4DA9-807F-47EBC31D4EB8}" name="Month_4"/>
    <tableColumn id="18" xr3:uid="{9F2826AB-5FB4-4A7D-908D-14C5A6F5F22A}" name="Month_5"/>
    <tableColumn id="19" xr3:uid="{8769B9C3-623A-4D77-ACBF-8AD6A19B27D7}" name="Month_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7DBC10-5925-45B9-A82B-6C11E1DC1710}" name="Table13" displayName="Table13" ref="A1:V501" totalsRowShown="0">
  <autoFilter ref="A1:V501" xr:uid="{7E7DBC10-5925-45B9-A82B-6C11E1DC1710}"/>
  <tableColumns count="22">
    <tableColumn id="1" xr3:uid="{6559E993-9C5B-4AE1-9F16-F3CCF412492F}" name="Customer_ID"/>
    <tableColumn id="2" xr3:uid="{440743AD-C70D-4B3B-9108-D4BDB9E7D5F4}" name="Age" dataDxfId="9"/>
    <tableColumn id="3" xr3:uid="{D2888270-F044-4BDB-BBFF-0B4E514A82D5}" name="Income" dataDxfId="8"/>
    <tableColumn id="4" xr3:uid="{52838336-C195-45C6-8999-90C0887289C9}" name="Credit_Score" dataDxfId="7"/>
    <tableColumn id="23" xr3:uid="{667837FD-A159-4D93-82FA-56A8B79611A4}" name="Risk_Segment" dataDxfId="6">
      <calculatedColumnFormula>VLOOKUP(Table13[[#This Row],[Credit_Score]],Table4[],2,TRUE)</calculatedColumnFormula>
    </tableColumn>
    <tableColumn id="5" xr3:uid="{5FC04B49-58BB-42FD-AAF8-BD271A28D711}" name="Credit_Utilization"/>
    <tableColumn id="21" xr3:uid="{4B47BF5C-1459-48DC-B0E1-D857978BCDBC}" name="Utilization_Category" dataDxfId="5">
      <calculatedColumnFormula>IF(Table13[[#This Row],[Credit_Utilization]]&lt;0.3,"Low Utilization",
IF(Table13[[#This Row],[Credit_Utilization]]&lt;0.7,"Moderate Utilization",
"High Utilization"))</calculatedColumnFormula>
    </tableColumn>
    <tableColumn id="6" xr3:uid="{4F71E9E2-3643-4635-8611-CE914855E8C6}" name="Missed_Payments" dataDxfId="4"/>
    <tableColumn id="7" xr3:uid="{2624D8F7-457C-43D1-9C18-78CD92FA51A8}" name="Delinquent_Account" dataDxfId="3"/>
    <tableColumn id="8" xr3:uid="{17D6C5C7-3317-4E89-AF53-285B387CBF3F}" name="Loan_Balance" dataDxfId="2"/>
    <tableColumn id="9" xr3:uid="{06F8645E-5634-40BE-96A0-CE0B1312E2A4}" name="Debt_to_Income_Ratio"/>
    <tableColumn id="22" xr3:uid="{62304B60-26BF-447C-8C55-9E57A02BB222}" name="DTI_Category" dataDxfId="1">
      <calculatedColumnFormula>IF(Table13[[#This Row],[Debt_to_Income_Ratio]]&lt;0.3,"Low DTI", IF(Table13[[#This Row],[Debt_to_Income_Ratio]]&lt;0.5,"Moderate DTI", "High DTI"))</calculatedColumnFormula>
    </tableColumn>
    <tableColumn id="10" xr3:uid="{04D717DE-8335-458F-BE38-EFBA20D24FD3}" name="Employment_Status"/>
    <tableColumn id="11" xr3:uid="{01B65076-B09E-4C77-A9CD-B8C8F724EFA2}" name="Account_Tenure" dataDxfId="0"/>
    <tableColumn id="12" xr3:uid="{D211826C-B4D1-411A-AFF4-46AD42AF303D}" name="Credit_Card_Type"/>
    <tableColumn id="13" xr3:uid="{847CDF23-874A-409B-B850-0C98BE211B16}" name="Location"/>
    <tableColumn id="14" xr3:uid="{F3D86029-8C8C-4CCC-806A-BFA783B86B96}" name="Month_1"/>
    <tableColumn id="15" xr3:uid="{FBD372E1-7D48-482A-9E2C-87D6BF867D21}" name="Month_2"/>
    <tableColumn id="16" xr3:uid="{EF92ADBF-1D3F-44F6-AF2D-9A5A91186129}" name="Month_3"/>
    <tableColumn id="17" xr3:uid="{E53F5D3F-ED18-4457-9122-1E38570491C2}" name="Month_4"/>
    <tableColumn id="18" xr3:uid="{E29B0177-220D-45FD-83B7-987DC4B172A7}" name="Month_5"/>
    <tableColumn id="19" xr3:uid="{F54A7397-C33B-4CF0-BAC9-8B30D8841225}" name="Month_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0C3960-E110-458F-A3E5-CE246F05DDBC}" name="Table3" displayName="Table3" ref="A1:B4" totalsRowShown="0" headerRowDxfId="20" dataDxfId="19">
  <tableColumns count="2">
    <tableColumn id="1" xr3:uid="{E909B4C3-4142-4256-8A71-CDB05F62F42A}" name="Variable" dataDxfId="18"/>
    <tableColumn id="2" xr3:uid="{B8871732-2E3F-45FC-A119-BF945853EF7B}" name="Median" dataDxfId="17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2D7FF0-A69B-4606-9A9A-08D5F24F445C}" name="Table4" displayName="Table4" ref="D1:E4" totalsRowShown="0" headerRowDxfId="16" dataDxfId="15">
  <tableColumns count="2">
    <tableColumn id="1" xr3:uid="{6C689097-18E0-46FB-B68F-849BC376C9BC}" name="Credit_Score" dataDxfId="14"/>
    <tableColumn id="2" xr3:uid="{F7476827-DFB4-4E31-88DA-F6640955AA15}" name="Risk_Category" dataDxfId="13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D9362D-FD46-4BC7-9A2D-F26F840CE576}" name="Table5" displayName="Table5" ref="G3:H6" headerRowCount="0" totalsRowShown="0" headerRowDxfId="12">
  <sortState xmlns:xlrd2="http://schemas.microsoft.com/office/spreadsheetml/2017/richdata2" ref="G3:H6">
    <sortCondition descending="1" ref="H3:H6"/>
  </sortState>
  <tableColumns count="2">
    <tableColumn id="1" xr3:uid="{3C976554-3449-432C-B6D7-782B1B67C082}" name="Column1" headerRowDxfId="11"/>
    <tableColumn id="2" xr3:uid="{F3AB2F40-8CD6-4CB4-B1CD-3F211FB321AB}" name="Column2" headerRowDxfId="10"/>
  </tableColumns>
  <tableStyleInfo name="TableStyleLight1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E1" zoomScale="55" zoomScaleNormal="55" workbookViewId="0">
      <selection activeCell="H13" sqref="H13"/>
    </sheetView>
  </sheetViews>
  <sheetFormatPr defaultColWidth="11.07421875" defaultRowHeight="15.5"/>
  <cols>
    <col min="1" max="1" width="13.69140625" customWidth="1"/>
    <col min="4" max="4" width="14" customWidth="1"/>
    <col min="5" max="5" width="17.765625" customWidth="1"/>
    <col min="6" max="6" width="18.15234375" customWidth="1"/>
    <col min="7" max="7" width="20.3046875" customWidth="1"/>
    <col min="8" max="8" width="15.23046875" customWidth="1"/>
    <col min="9" max="9" width="22.3828125" customWidth="1"/>
    <col min="10" max="10" width="20" customWidth="1"/>
    <col min="11" max="11" width="16.921875" customWidth="1"/>
    <col min="12" max="12" width="18.30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6175-7DA7-43A9-8FDB-D248D23C7AAE}">
  <dimension ref="A1:V501"/>
  <sheetViews>
    <sheetView topLeftCell="H1" zoomScale="55" zoomScaleNormal="55" workbookViewId="0">
      <selection activeCell="L26" sqref="L26"/>
    </sheetView>
  </sheetViews>
  <sheetFormatPr defaultColWidth="11.07421875" defaultRowHeight="15.5"/>
  <cols>
    <col min="1" max="1" width="13.69140625" customWidth="1"/>
    <col min="2" max="3" width="11.07421875" style="21"/>
    <col min="4" max="4" width="14" style="21" customWidth="1"/>
    <col min="5" max="5" width="14" customWidth="1"/>
    <col min="6" max="7" width="17.765625" customWidth="1"/>
    <col min="8" max="8" width="18.15234375" style="21" customWidth="1"/>
    <col min="9" max="9" width="20.3046875" style="21" customWidth="1"/>
    <col min="10" max="10" width="15.23046875" style="21" customWidth="1"/>
    <col min="11" max="12" width="22.3828125" customWidth="1"/>
    <col min="13" max="13" width="20" customWidth="1"/>
    <col min="14" max="14" width="16.921875" style="21" customWidth="1"/>
    <col min="15" max="15" width="18.3046875" customWidth="1"/>
  </cols>
  <sheetData>
    <row r="1" spans="1:22">
      <c r="A1" t="s">
        <v>0</v>
      </c>
      <c r="B1" s="21" t="s">
        <v>1</v>
      </c>
      <c r="C1" s="21" t="s">
        <v>2</v>
      </c>
      <c r="D1" s="21" t="s">
        <v>3</v>
      </c>
      <c r="E1" t="s">
        <v>545</v>
      </c>
      <c r="F1" t="s">
        <v>4</v>
      </c>
      <c r="G1" t="s">
        <v>546</v>
      </c>
      <c r="H1" s="21" t="s">
        <v>5</v>
      </c>
      <c r="I1" s="21" t="s">
        <v>6</v>
      </c>
      <c r="J1" s="21" t="s">
        <v>7</v>
      </c>
      <c r="K1" t="s">
        <v>8</v>
      </c>
      <c r="L1" t="s">
        <v>547</v>
      </c>
      <c r="M1" t="s">
        <v>9</v>
      </c>
      <c r="N1" s="2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>
      <c r="A2" t="s">
        <v>19</v>
      </c>
      <c r="B2" s="21">
        <v>56</v>
      </c>
      <c r="C2" s="21">
        <v>165580</v>
      </c>
      <c r="D2" s="21">
        <v>398</v>
      </c>
      <c r="E2" t="str">
        <f>VLOOKUP(Table13[[#This Row],[Credit_Score]],Table4[],2,TRUE)</f>
        <v>High Risk</v>
      </c>
      <c r="F2">
        <v>0.39050192860023702</v>
      </c>
      <c r="G2" t="str">
        <f>IF(Table13[[#This Row],[Credit_Utilization]]&lt;0.3,"Low Utilization",
IF(Table13[[#This Row],[Credit_Utilization]]&lt;0.7,"Moderate Utilization",
"High Utilization"))</f>
        <v>Moderate Utilization</v>
      </c>
      <c r="H2" s="21">
        <v>3</v>
      </c>
      <c r="I2" s="21">
        <v>0</v>
      </c>
      <c r="J2" s="21">
        <v>16310</v>
      </c>
      <c r="K2">
        <v>0.31739611496857001</v>
      </c>
      <c r="L2" t="str">
        <f>IF(Table13[[#This Row],[Debt_to_Income_Ratio]]&lt;0.3,"Low DTI", IF(Table13[[#This Row],[Debt_to_Income_Ratio]]&lt;0.5,"Moderate DTI", "High DTI"))</f>
        <v>Moderate DTI</v>
      </c>
      <c r="M2" t="s">
        <v>43</v>
      </c>
      <c r="N2" s="21">
        <v>18</v>
      </c>
      <c r="O2" t="s">
        <v>21</v>
      </c>
      <c r="P2" t="s">
        <v>22</v>
      </c>
      <c r="Q2" t="s">
        <v>23</v>
      </c>
      <c r="R2" t="s">
        <v>23</v>
      </c>
      <c r="S2" t="s">
        <v>24</v>
      </c>
      <c r="T2" t="s">
        <v>23</v>
      </c>
      <c r="U2" t="s">
        <v>24</v>
      </c>
      <c r="V2" t="s">
        <v>23</v>
      </c>
    </row>
    <row r="3" spans="1:22">
      <c r="A3" t="s">
        <v>25</v>
      </c>
      <c r="B3" s="21">
        <v>69</v>
      </c>
      <c r="C3" s="21">
        <v>100999</v>
      </c>
      <c r="D3" s="21">
        <v>493</v>
      </c>
      <c r="E3" t="str">
        <f>VLOOKUP(Table13[[#This Row],[Credit_Score]],Table4[],2,TRUE)</f>
        <v>High Risk</v>
      </c>
      <c r="F3">
        <v>0.31244403322601699</v>
      </c>
      <c r="G3" t="str">
        <f>IF(Table13[[#This Row],[Credit_Utilization]]&lt;0.3,"Low Utilization",
IF(Table13[[#This Row],[Credit_Utilization]]&lt;0.7,"Moderate Utilization",
"High Utilization"))</f>
        <v>Moderate Utilization</v>
      </c>
      <c r="H3" s="21">
        <v>6</v>
      </c>
      <c r="I3" s="21">
        <v>1</v>
      </c>
      <c r="J3" s="21">
        <v>17401</v>
      </c>
      <c r="K3">
        <v>0.196092643360821</v>
      </c>
      <c r="L3" t="str">
        <f>IF(Table13[[#This Row],[Debt_to_Income_Ratio]]&lt;0.3,"Low DTI", IF(Table13[[#This Row],[Debt_to_Income_Ratio]]&lt;0.5,"Moderate DTI", "High DTI"))</f>
        <v>Low DTI</v>
      </c>
      <c r="M3" t="s">
        <v>26</v>
      </c>
      <c r="N3" s="21">
        <v>0</v>
      </c>
      <c r="O3" t="s">
        <v>27</v>
      </c>
      <c r="P3" t="s">
        <v>28</v>
      </c>
      <c r="Q3" t="s">
        <v>24</v>
      </c>
      <c r="R3" t="s">
        <v>24</v>
      </c>
      <c r="S3" t="s">
        <v>23</v>
      </c>
      <c r="T3" t="s">
        <v>24</v>
      </c>
      <c r="U3" t="s">
        <v>29</v>
      </c>
      <c r="V3" t="s">
        <v>29</v>
      </c>
    </row>
    <row r="4" spans="1:22">
      <c r="A4" t="s">
        <v>30</v>
      </c>
      <c r="B4" s="21">
        <v>46</v>
      </c>
      <c r="C4" s="21">
        <v>188416</v>
      </c>
      <c r="D4" s="21">
        <v>500</v>
      </c>
      <c r="E4" t="str">
        <f>VLOOKUP(Table13[[#This Row],[Credit_Score]],Table4[],2,TRUE)</f>
        <v>High Risk</v>
      </c>
      <c r="F4">
        <v>0.359930238508409</v>
      </c>
      <c r="G4" t="str">
        <f>IF(Table13[[#This Row],[Credit_Utilization]]&lt;0.3,"Low Utilization",
IF(Table13[[#This Row],[Credit_Utilization]]&lt;0.7,"Moderate Utilization",
"High Utilization"))</f>
        <v>Moderate Utilization</v>
      </c>
      <c r="H4" s="21">
        <v>0</v>
      </c>
      <c r="I4" s="21">
        <v>0</v>
      </c>
      <c r="J4" s="21">
        <v>13761</v>
      </c>
      <c r="K4">
        <v>0.30165493989091102</v>
      </c>
      <c r="L4" t="str">
        <f>IF(Table13[[#This Row],[Debt_to_Income_Ratio]]&lt;0.3,"Low DTI", IF(Table13[[#This Row],[Debt_to_Income_Ratio]]&lt;0.5,"Moderate DTI", "High DTI"))</f>
        <v>Moderate DTI</v>
      </c>
      <c r="M4" t="s">
        <v>26</v>
      </c>
      <c r="N4" s="21">
        <v>1</v>
      </c>
      <c r="O4" t="s">
        <v>31</v>
      </c>
      <c r="P4" t="s">
        <v>32</v>
      </c>
      <c r="Q4" t="s">
        <v>24</v>
      </c>
      <c r="R4" t="s">
        <v>23</v>
      </c>
      <c r="S4" t="s">
        <v>23</v>
      </c>
      <c r="T4" t="s">
        <v>29</v>
      </c>
      <c r="U4" t="s">
        <v>24</v>
      </c>
      <c r="V4" t="s">
        <v>23</v>
      </c>
    </row>
    <row r="5" spans="1:22">
      <c r="A5" t="s">
        <v>33</v>
      </c>
      <c r="B5" s="21">
        <v>32</v>
      </c>
      <c r="C5" s="21">
        <v>101672</v>
      </c>
      <c r="D5" s="21">
        <v>413</v>
      </c>
      <c r="E5" t="str">
        <f>VLOOKUP(Table13[[#This Row],[Credit_Score]],Table4[],2,TRUE)</f>
        <v>High Risk</v>
      </c>
      <c r="F5">
        <v>0.37140035530382398</v>
      </c>
      <c r="G5" t="str">
        <f>IF(Table13[[#This Row],[Credit_Utilization]]&lt;0.3,"Low Utilization",
IF(Table13[[#This Row],[Credit_Utilization]]&lt;0.7,"Moderate Utilization",
"High Utilization"))</f>
        <v>Moderate Utilization</v>
      </c>
      <c r="H5" s="21">
        <v>3</v>
      </c>
      <c r="I5" s="21">
        <v>0</v>
      </c>
      <c r="J5" s="21">
        <v>88778</v>
      </c>
      <c r="K5">
        <v>0.26479443922880602</v>
      </c>
      <c r="L5" t="str">
        <f>IF(Table13[[#This Row],[Debt_to_Income_Ratio]]&lt;0.3,"Low DTI", IF(Table13[[#This Row],[Debt_to_Income_Ratio]]&lt;0.5,"Moderate DTI", "High DTI"))</f>
        <v>Low DTI</v>
      </c>
      <c r="M5" t="s">
        <v>34</v>
      </c>
      <c r="N5" s="21">
        <v>15</v>
      </c>
      <c r="O5" t="s">
        <v>31</v>
      </c>
      <c r="P5" t="s">
        <v>28</v>
      </c>
      <c r="Q5" t="s">
        <v>23</v>
      </c>
      <c r="R5" t="s">
        <v>24</v>
      </c>
      <c r="S5" t="s">
        <v>23</v>
      </c>
      <c r="T5" t="s">
        <v>24</v>
      </c>
      <c r="U5" t="s">
        <v>23</v>
      </c>
      <c r="V5" t="s">
        <v>23</v>
      </c>
    </row>
    <row r="6" spans="1:22">
      <c r="A6" t="s">
        <v>35</v>
      </c>
      <c r="B6" s="21">
        <v>60</v>
      </c>
      <c r="C6" s="21">
        <v>38524</v>
      </c>
      <c r="D6" s="21">
        <v>487</v>
      </c>
      <c r="E6" t="str">
        <f>VLOOKUP(Table13[[#This Row],[Credit_Score]],Table4[],2,TRUE)</f>
        <v>High Risk</v>
      </c>
      <c r="F6">
        <v>0.23471586262820099</v>
      </c>
      <c r="G6" t="str">
        <f>IF(Table13[[#This Row],[Credit_Utilization]]&lt;0.3,"Low Utilization",
IF(Table13[[#This Row],[Credit_Utilization]]&lt;0.7,"Moderate Utilization",
"High Utilization"))</f>
        <v>Low Utilization</v>
      </c>
      <c r="H6" s="21">
        <v>2</v>
      </c>
      <c r="I6" s="21">
        <v>0</v>
      </c>
      <c r="J6" s="21">
        <v>13316</v>
      </c>
      <c r="K6">
        <v>0.51058348253484798</v>
      </c>
      <c r="L6" t="str">
        <f>IF(Table13[[#This Row],[Debt_to_Income_Ratio]]&lt;0.3,"Low DTI", IF(Table13[[#This Row],[Debt_to_Income_Ratio]]&lt;0.5,"Moderate DTI", "High DTI"))</f>
        <v>High DTI</v>
      </c>
      <c r="M6" t="s">
        <v>26</v>
      </c>
      <c r="N6" s="21">
        <v>11</v>
      </c>
      <c r="O6" t="s">
        <v>27</v>
      </c>
      <c r="P6" t="s">
        <v>28</v>
      </c>
      <c r="Q6" t="s">
        <v>24</v>
      </c>
      <c r="R6" t="s">
        <v>29</v>
      </c>
      <c r="S6" t="s">
        <v>24</v>
      </c>
      <c r="T6" t="s">
        <v>23</v>
      </c>
      <c r="U6" t="s">
        <v>23</v>
      </c>
      <c r="V6" t="s">
        <v>23</v>
      </c>
    </row>
    <row r="7" spans="1:22">
      <c r="A7" t="s">
        <v>36</v>
      </c>
      <c r="B7" s="21">
        <v>25</v>
      </c>
      <c r="C7" s="21">
        <v>84042</v>
      </c>
      <c r="D7" s="21">
        <v>700</v>
      </c>
      <c r="E7" t="str">
        <f>VLOOKUP(Table13[[#This Row],[Credit_Score]],Table4[],2,TRUE)</f>
        <v>Medium Risk</v>
      </c>
      <c r="F7">
        <v>0.65054042971452497</v>
      </c>
      <c r="G7" t="str">
        <f>IF(Table13[[#This Row],[Credit_Utilization]]&lt;0.3,"Low Utilization",
IF(Table13[[#This Row],[Credit_Utilization]]&lt;0.7,"Moderate Utilization",
"High Utilization"))</f>
        <v>Moderate Utilization</v>
      </c>
      <c r="H7" s="21">
        <v>6</v>
      </c>
      <c r="I7" s="21">
        <v>0</v>
      </c>
      <c r="J7" s="21">
        <v>48361</v>
      </c>
      <c r="K7">
        <v>0.26068788108000901</v>
      </c>
      <c r="L7" t="str">
        <f>IF(Table13[[#This Row],[Debt_to_Income_Ratio]]&lt;0.3,"Low DTI", IF(Table13[[#This Row],[Debt_to_Income_Ratio]]&lt;0.5,"Moderate DTI", "High DTI"))</f>
        <v>Low DTI</v>
      </c>
      <c r="M7" t="s">
        <v>34</v>
      </c>
      <c r="N7" s="21">
        <v>7</v>
      </c>
      <c r="O7" t="s">
        <v>37</v>
      </c>
      <c r="P7" t="s">
        <v>38</v>
      </c>
      <c r="Q7" t="s">
        <v>29</v>
      </c>
      <c r="R7" t="s">
        <v>23</v>
      </c>
      <c r="S7" t="s">
        <v>24</v>
      </c>
      <c r="T7" t="s">
        <v>24</v>
      </c>
      <c r="U7" t="s">
        <v>24</v>
      </c>
      <c r="V7" t="s">
        <v>23</v>
      </c>
    </row>
    <row r="8" spans="1:22">
      <c r="A8" t="s">
        <v>39</v>
      </c>
      <c r="B8" s="21">
        <v>38</v>
      </c>
      <c r="C8" s="21">
        <v>35056</v>
      </c>
      <c r="D8" s="21">
        <v>354</v>
      </c>
      <c r="E8" t="str">
        <f>VLOOKUP(Table13[[#This Row],[Credit_Score]],Table4[],2,TRUE)</f>
        <v>High Risk</v>
      </c>
      <c r="F8">
        <v>0.39058094052257902</v>
      </c>
      <c r="G8" t="str">
        <f>IF(Table13[[#This Row],[Credit_Utilization]]&lt;0.3,"Low Utilization",
IF(Table13[[#This Row],[Credit_Utilization]]&lt;0.7,"Moderate Utilization",
"High Utilization"))</f>
        <v>Moderate Utilization</v>
      </c>
      <c r="H8" s="21">
        <v>3</v>
      </c>
      <c r="I8" s="21">
        <v>0</v>
      </c>
      <c r="J8" s="21">
        <v>4638</v>
      </c>
      <c r="K8">
        <v>0.48426513728833398</v>
      </c>
      <c r="L8" t="str">
        <f>IF(Table13[[#This Row],[Debt_to_Income_Ratio]]&lt;0.3,"Low DTI", IF(Table13[[#This Row],[Debt_to_Income_Ratio]]&lt;0.5,"Moderate DTI", "High DTI"))</f>
        <v>Moderate DTI</v>
      </c>
      <c r="M8" t="s">
        <v>43</v>
      </c>
      <c r="N8" s="21">
        <v>17</v>
      </c>
      <c r="O8" t="s">
        <v>31</v>
      </c>
      <c r="P8" t="s">
        <v>38</v>
      </c>
      <c r="Q8" t="s">
        <v>29</v>
      </c>
      <c r="R8" t="s">
        <v>24</v>
      </c>
      <c r="S8" t="s">
        <v>24</v>
      </c>
      <c r="T8" t="s">
        <v>23</v>
      </c>
      <c r="U8" t="s">
        <v>24</v>
      </c>
      <c r="V8" t="s">
        <v>23</v>
      </c>
    </row>
    <row r="9" spans="1:22">
      <c r="A9" t="s">
        <v>41</v>
      </c>
      <c r="B9" s="21">
        <v>56</v>
      </c>
      <c r="C9" s="21">
        <v>123215</v>
      </c>
      <c r="D9" s="21">
        <v>415</v>
      </c>
      <c r="E9" t="str">
        <f>VLOOKUP(Table13[[#This Row],[Credit_Score]],Table4[],2,TRUE)</f>
        <v>High Risk</v>
      </c>
      <c r="F9">
        <v>0.53271466711773097</v>
      </c>
      <c r="G9" t="str">
        <f>IF(Table13[[#This Row],[Credit_Utilization]]&lt;0.3,"Low Utilization",
IF(Table13[[#This Row],[Credit_Utilization]]&lt;0.7,"Moderate Utilization",
"High Utilization"))</f>
        <v>Moderate Utilization</v>
      </c>
      <c r="H9" s="21">
        <v>5</v>
      </c>
      <c r="I9" s="21">
        <v>0</v>
      </c>
      <c r="J9" s="21">
        <v>55776</v>
      </c>
      <c r="K9">
        <v>0.35869522911833701</v>
      </c>
      <c r="L9" t="str">
        <f>IF(Table13[[#This Row],[Debt_to_Income_Ratio]]&lt;0.3,"Low DTI", IF(Table13[[#This Row],[Debt_to_Income_Ratio]]&lt;0.5,"Moderate DTI", "High DTI"))</f>
        <v>Moderate DTI</v>
      </c>
      <c r="M9" t="s">
        <v>43</v>
      </c>
      <c r="N9" s="21">
        <v>1</v>
      </c>
      <c r="O9" t="s">
        <v>21</v>
      </c>
      <c r="P9" t="s">
        <v>38</v>
      </c>
      <c r="Q9" t="s">
        <v>29</v>
      </c>
      <c r="R9" t="s">
        <v>29</v>
      </c>
      <c r="S9" t="s">
        <v>29</v>
      </c>
      <c r="T9" t="s">
        <v>23</v>
      </c>
      <c r="U9" t="s">
        <v>24</v>
      </c>
      <c r="V9" t="s">
        <v>23</v>
      </c>
    </row>
    <row r="10" spans="1:22">
      <c r="A10" t="s">
        <v>42</v>
      </c>
      <c r="B10" s="21">
        <v>36</v>
      </c>
      <c r="C10" s="21">
        <v>66991</v>
      </c>
      <c r="D10" s="21">
        <v>405</v>
      </c>
      <c r="E10" t="str">
        <f>VLOOKUP(Table13[[#This Row],[Credit_Score]],Table4[],2,TRUE)</f>
        <v>High Risk</v>
      </c>
      <c r="F10">
        <v>0.41303484761795101</v>
      </c>
      <c r="G10" t="str">
        <f>IF(Table13[[#This Row],[Credit_Utilization]]&lt;0.3,"Low Utilization",
IF(Table13[[#This Row],[Credit_Utilization]]&lt;0.7,"Moderate Utilization",
"High Utilization"))</f>
        <v>Moderate Utilization</v>
      </c>
      <c r="H10" s="21">
        <v>5</v>
      </c>
      <c r="I10" s="21">
        <v>1</v>
      </c>
      <c r="J10" s="21">
        <v>45776</v>
      </c>
      <c r="K10">
        <v>0.21985410292702701</v>
      </c>
      <c r="L10" t="str">
        <f>IF(Table13[[#This Row],[Debt_to_Income_Ratio]]&lt;0.3,"Low DTI", IF(Table13[[#This Row],[Debt_to_Income_Ratio]]&lt;0.5,"Moderate DTI", "High DTI"))</f>
        <v>Low DTI</v>
      </c>
      <c r="M10" t="s">
        <v>43</v>
      </c>
      <c r="N10" s="21">
        <v>12</v>
      </c>
      <c r="O10" t="s">
        <v>21</v>
      </c>
      <c r="P10" t="s">
        <v>28</v>
      </c>
      <c r="Q10" t="s">
        <v>29</v>
      </c>
      <c r="R10" t="s">
        <v>29</v>
      </c>
      <c r="S10" t="s">
        <v>29</v>
      </c>
      <c r="T10" t="s">
        <v>24</v>
      </c>
      <c r="U10" t="s">
        <v>23</v>
      </c>
      <c r="V10" t="s">
        <v>29</v>
      </c>
    </row>
    <row r="11" spans="1:22">
      <c r="A11" t="s">
        <v>44</v>
      </c>
      <c r="B11" s="21">
        <v>40</v>
      </c>
      <c r="C11" s="21">
        <v>34870</v>
      </c>
      <c r="D11" s="21">
        <v>679</v>
      </c>
      <c r="E11" t="str">
        <f>VLOOKUP(Table13[[#This Row],[Credit_Score]],Table4[],2,TRUE)</f>
        <v>Medium Risk</v>
      </c>
      <c r="F11">
        <v>0.361823917542758</v>
      </c>
      <c r="G11" t="str">
        <f>IF(Table13[[#This Row],[Credit_Utilization]]&lt;0.3,"Low Utilization",
IF(Table13[[#This Row],[Credit_Utilization]]&lt;0.7,"Moderate Utilization",
"High Utilization"))</f>
        <v>Moderate Utilization</v>
      </c>
      <c r="H11" s="21">
        <v>4</v>
      </c>
      <c r="I11" s="21">
        <v>0</v>
      </c>
      <c r="J11" s="21">
        <v>93922</v>
      </c>
      <c r="K11">
        <v>0.33308109252597501</v>
      </c>
      <c r="L11" t="str">
        <f>IF(Table13[[#This Row],[Debt_to_Income_Ratio]]&lt;0.3,"Low DTI", IF(Table13[[#This Row],[Debt_to_Income_Ratio]]&lt;0.5,"Moderate DTI", "High DTI"))</f>
        <v>Moderate DTI</v>
      </c>
      <c r="M11" t="s">
        <v>43</v>
      </c>
      <c r="N11" s="21">
        <v>5</v>
      </c>
      <c r="O11" t="s">
        <v>45</v>
      </c>
      <c r="P11" t="s">
        <v>22</v>
      </c>
      <c r="Q11" t="s">
        <v>29</v>
      </c>
      <c r="R11" t="s">
        <v>24</v>
      </c>
      <c r="S11" t="s">
        <v>24</v>
      </c>
      <c r="T11" t="s">
        <v>29</v>
      </c>
      <c r="U11" t="s">
        <v>24</v>
      </c>
      <c r="V11" t="s">
        <v>24</v>
      </c>
    </row>
    <row r="12" spans="1:22">
      <c r="A12" t="s">
        <v>46</v>
      </c>
      <c r="B12" s="21">
        <v>28</v>
      </c>
      <c r="C12" s="21">
        <v>42532</v>
      </c>
      <c r="D12" s="21">
        <v>340</v>
      </c>
      <c r="E12" t="str">
        <f>VLOOKUP(Table13[[#This Row],[Credit_Score]],Table4[],2,TRUE)</f>
        <v>High Risk</v>
      </c>
      <c r="F12">
        <v>0.83445584721736998</v>
      </c>
      <c r="G12" t="str">
        <f>IF(Table13[[#This Row],[Credit_Utilization]]&lt;0.3,"Low Utilization",
IF(Table13[[#This Row],[Credit_Utilization]]&lt;0.7,"Moderate Utilization",
"High Utilization"))</f>
        <v>High Utilization</v>
      </c>
      <c r="H12" s="21">
        <v>4</v>
      </c>
      <c r="I12" s="21">
        <v>0</v>
      </c>
      <c r="J12" s="21">
        <v>82909</v>
      </c>
      <c r="K12">
        <v>0.26955902536621801</v>
      </c>
      <c r="L12" t="str">
        <f>IF(Table13[[#This Row],[Debt_to_Income_Ratio]]&lt;0.3,"Low DTI", IF(Table13[[#This Row],[Debt_to_Income_Ratio]]&lt;0.5,"Moderate DTI", "High DTI"))</f>
        <v>Low DTI</v>
      </c>
      <c r="M12" t="s">
        <v>34</v>
      </c>
      <c r="N12" s="21">
        <v>5</v>
      </c>
      <c r="O12" t="s">
        <v>21</v>
      </c>
      <c r="P12" t="s">
        <v>32</v>
      </c>
      <c r="Q12" t="s">
        <v>29</v>
      </c>
      <c r="R12" t="s">
        <v>23</v>
      </c>
      <c r="S12" t="s">
        <v>24</v>
      </c>
      <c r="T12" t="s">
        <v>24</v>
      </c>
      <c r="U12" t="s">
        <v>29</v>
      </c>
      <c r="V12" t="s">
        <v>23</v>
      </c>
    </row>
    <row r="13" spans="1:22">
      <c r="A13" t="s">
        <v>47</v>
      </c>
      <c r="B13" s="21">
        <v>28</v>
      </c>
      <c r="C13" s="21">
        <v>70479</v>
      </c>
      <c r="D13" s="21">
        <v>679</v>
      </c>
      <c r="E13" t="str">
        <f>VLOOKUP(Table13[[#This Row],[Credit_Score]],Table4[],2,TRUE)</f>
        <v>Medium Risk</v>
      </c>
      <c r="F13">
        <v>0.684586436441881</v>
      </c>
      <c r="G13" t="str">
        <f>IF(Table13[[#This Row],[Credit_Utilization]]&lt;0.3,"Low Utilization",
IF(Table13[[#This Row],[Credit_Utilization]]&lt;0.7,"Moderate Utilization",
"High Utilization"))</f>
        <v>Moderate Utilization</v>
      </c>
      <c r="H13" s="21">
        <v>3</v>
      </c>
      <c r="I13" s="21">
        <v>0</v>
      </c>
      <c r="J13" s="21">
        <v>75777</v>
      </c>
      <c r="K13">
        <v>0.32421574907412298</v>
      </c>
      <c r="L13" t="str">
        <f>IF(Table13[[#This Row],[Debt_to_Income_Ratio]]&lt;0.3,"Low DTI", IF(Table13[[#This Row],[Debt_to_Income_Ratio]]&lt;0.5,"Moderate DTI", "High DTI"))</f>
        <v>Moderate DTI</v>
      </c>
      <c r="M13" t="s">
        <v>34</v>
      </c>
      <c r="N13" s="21">
        <v>8</v>
      </c>
      <c r="O13" t="s">
        <v>45</v>
      </c>
      <c r="P13" t="s">
        <v>32</v>
      </c>
      <c r="Q13" t="s">
        <v>29</v>
      </c>
      <c r="R13" t="s">
        <v>24</v>
      </c>
      <c r="S13" t="s">
        <v>24</v>
      </c>
      <c r="T13" t="s">
        <v>23</v>
      </c>
      <c r="U13" t="s">
        <v>29</v>
      </c>
      <c r="V13" t="s">
        <v>23</v>
      </c>
    </row>
    <row r="14" spans="1:22">
      <c r="A14" t="s">
        <v>48</v>
      </c>
      <c r="B14" s="21">
        <v>41</v>
      </c>
      <c r="C14" s="21">
        <v>56975</v>
      </c>
      <c r="D14" s="21">
        <v>320</v>
      </c>
      <c r="E14" t="str">
        <f>VLOOKUP(Table13[[#This Row],[Credit_Score]],Table4[],2,TRUE)</f>
        <v>High Risk</v>
      </c>
      <c r="F14">
        <v>0.12635992000897101</v>
      </c>
      <c r="G14" t="str">
        <f>IF(Table13[[#This Row],[Credit_Utilization]]&lt;0.3,"Low Utilization",
IF(Table13[[#This Row],[Credit_Utilization]]&lt;0.7,"Moderate Utilization",
"High Utilization"))</f>
        <v>Low Utilization</v>
      </c>
      <c r="H14" s="21">
        <v>0</v>
      </c>
      <c r="I14" s="21">
        <v>0</v>
      </c>
      <c r="J14" s="21">
        <v>15171</v>
      </c>
      <c r="K14">
        <v>0.22861090125667299</v>
      </c>
      <c r="L14" t="str">
        <f>IF(Table13[[#This Row],[Debt_to_Income_Ratio]]&lt;0.3,"Low DTI", IF(Table13[[#This Row],[Debt_to_Income_Ratio]]&lt;0.5,"Moderate DTI", "High DTI"))</f>
        <v>Low DTI</v>
      </c>
      <c r="M14" t="s">
        <v>43</v>
      </c>
      <c r="N14" s="21">
        <v>15</v>
      </c>
      <c r="O14" t="s">
        <v>27</v>
      </c>
      <c r="P14" t="s">
        <v>22</v>
      </c>
      <c r="Q14" t="s">
        <v>23</v>
      </c>
      <c r="R14" t="s">
        <v>23</v>
      </c>
      <c r="S14" t="s">
        <v>24</v>
      </c>
      <c r="T14" t="s">
        <v>23</v>
      </c>
      <c r="U14" t="s">
        <v>29</v>
      </c>
      <c r="V14" t="s">
        <v>29</v>
      </c>
    </row>
    <row r="15" spans="1:22">
      <c r="A15" t="s">
        <v>49</v>
      </c>
      <c r="B15" s="21">
        <v>70</v>
      </c>
      <c r="C15" s="21">
        <v>117023</v>
      </c>
      <c r="D15" s="21">
        <v>528</v>
      </c>
      <c r="E15" t="str">
        <f>VLOOKUP(Table13[[#This Row],[Credit_Score]],Table4[],2,TRUE)</f>
        <v>High Risk</v>
      </c>
      <c r="F15">
        <v>0.105172510332822</v>
      </c>
      <c r="G15" t="str">
        <f>IF(Table13[[#This Row],[Credit_Utilization]]&lt;0.3,"Low Utilization",
IF(Table13[[#This Row],[Credit_Utilization]]&lt;0.7,"Moderate Utilization",
"High Utilization"))</f>
        <v>Low Utilization</v>
      </c>
      <c r="H15" s="21">
        <v>5</v>
      </c>
      <c r="I15" s="21">
        <v>0</v>
      </c>
      <c r="J15" s="21">
        <v>95136</v>
      </c>
      <c r="K15">
        <v>0.46901776333459499</v>
      </c>
      <c r="L15" t="str">
        <f>IF(Table13[[#This Row],[Debt_to_Income_Ratio]]&lt;0.3,"Low DTI", IF(Table13[[#This Row],[Debt_to_Income_Ratio]]&lt;0.5,"Moderate DTI", "High DTI"))</f>
        <v>Moderate DTI</v>
      </c>
      <c r="M15" t="s">
        <v>50</v>
      </c>
      <c r="N15" s="21">
        <v>10</v>
      </c>
      <c r="O15" t="s">
        <v>27</v>
      </c>
      <c r="P15" t="s">
        <v>22</v>
      </c>
      <c r="Q15" t="s">
        <v>29</v>
      </c>
      <c r="R15" t="s">
        <v>24</v>
      </c>
      <c r="S15" t="s">
        <v>24</v>
      </c>
      <c r="T15" t="s">
        <v>24</v>
      </c>
      <c r="U15" t="s">
        <v>29</v>
      </c>
      <c r="V15" t="s">
        <v>29</v>
      </c>
    </row>
    <row r="16" spans="1:22">
      <c r="A16" t="s">
        <v>51</v>
      </c>
      <c r="B16" s="21">
        <v>53</v>
      </c>
      <c r="C16" s="21">
        <v>143148</v>
      </c>
      <c r="D16" s="21">
        <v>617</v>
      </c>
      <c r="E16" t="str">
        <f>VLOOKUP(Table13[[#This Row],[Credit_Score]],Table4[],2,TRUE)</f>
        <v>Medium Risk</v>
      </c>
      <c r="F16">
        <v>0.70852176712729698</v>
      </c>
      <c r="G16" t="str">
        <f>IF(Table13[[#This Row],[Credit_Utilization]]&lt;0.3,"Low Utilization",
IF(Table13[[#This Row],[Credit_Utilization]]&lt;0.7,"Moderate Utilization",
"High Utilization"))</f>
        <v>High Utilization</v>
      </c>
      <c r="H16" s="21">
        <v>0</v>
      </c>
      <c r="I16" s="21">
        <v>0</v>
      </c>
      <c r="J16" s="21">
        <v>2593</v>
      </c>
      <c r="K16">
        <v>0.39253980907967201</v>
      </c>
      <c r="L16" t="str">
        <f>IF(Table13[[#This Row],[Debt_to_Income_Ratio]]&lt;0.3,"Low DTI", IF(Table13[[#This Row],[Debt_to_Income_Ratio]]&lt;0.5,"Moderate DTI", "High DTI"))</f>
        <v>Moderate DTI</v>
      </c>
      <c r="M16" t="s">
        <v>34</v>
      </c>
      <c r="N16" s="21">
        <v>6</v>
      </c>
      <c r="O16" t="s">
        <v>27</v>
      </c>
      <c r="P16" t="s">
        <v>32</v>
      </c>
      <c r="Q16" t="s">
        <v>23</v>
      </c>
      <c r="R16" t="s">
        <v>24</v>
      </c>
      <c r="S16" t="s">
        <v>23</v>
      </c>
      <c r="T16" t="s">
        <v>23</v>
      </c>
      <c r="U16" t="s">
        <v>23</v>
      </c>
      <c r="V16" t="s">
        <v>23</v>
      </c>
    </row>
    <row r="17" spans="1:22">
      <c r="A17" t="s">
        <v>52</v>
      </c>
      <c r="B17" s="21">
        <v>57</v>
      </c>
      <c r="C17" s="21">
        <v>159356</v>
      </c>
      <c r="D17" s="21">
        <v>601</v>
      </c>
      <c r="E17" t="str">
        <f>VLOOKUP(Table13[[#This Row],[Credit_Score]],Table4[],2,TRUE)</f>
        <v>Medium Risk</v>
      </c>
      <c r="F17">
        <v>0.39602932169024901</v>
      </c>
      <c r="G17" t="str">
        <f>IF(Table13[[#This Row],[Credit_Utilization]]&lt;0.3,"Low Utilization",
IF(Table13[[#This Row],[Credit_Utilization]]&lt;0.7,"Moderate Utilization",
"High Utilization"))</f>
        <v>Moderate Utilization</v>
      </c>
      <c r="H17" s="21">
        <v>0</v>
      </c>
      <c r="I17" s="21">
        <v>0</v>
      </c>
      <c r="J17" s="21">
        <v>1514</v>
      </c>
      <c r="K17">
        <v>0.30317815681615901</v>
      </c>
      <c r="L17" t="str">
        <f>IF(Table13[[#This Row],[Debt_to_Income_Ratio]]&lt;0.3,"Low DTI", IF(Table13[[#This Row],[Debt_to_Income_Ratio]]&lt;0.5,"Moderate DTI", "High DTI"))</f>
        <v>Moderate DTI</v>
      </c>
      <c r="M17" t="s">
        <v>26</v>
      </c>
      <c r="N17" s="21">
        <v>9</v>
      </c>
      <c r="O17" t="s">
        <v>37</v>
      </c>
      <c r="P17" t="s">
        <v>53</v>
      </c>
      <c r="Q17" t="s">
        <v>24</v>
      </c>
      <c r="R17" t="s">
        <v>29</v>
      </c>
      <c r="S17" t="s">
        <v>23</v>
      </c>
      <c r="T17" t="s">
        <v>24</v>
      </c>
      <c r="U17" t="s">
        <v>24</v>
      </c>
      <c r="V17" t="s">
        <v>23</v>
      </c>
    </row>
    <row r="18" spans="1:22">
      <c r="A18" t="s">
        <v>54</v>
      </c>
      <c r="B18" s="21">
        <v>41</v>
      </c>
      <c r="C18" s="21">
        <v>146484</v>
      </c>
      <c r="D18" s="21">
        <v>543</v>
      </c>
      <c r="E18" t="str">
        <f>VLOOKUP(Table13[[#This Row],[Credit_Score]],Table4[],2,TRUE)</f>
        <v>High Risk</v>
      </c>
      <c r="F18">
        <v>0.17018353321315499</v>
      </c>
      <c r="G18" t="str">
        <f>IF(Table13[[#This Row],[Credit_Utilization]]&lt;0.3,"Low Utilization",
IF(Table13[[#This Row],[Credit_Utilization]]&lt;0.7,"Moderate Utilization",
"High Utilization"))</f>
        <v>Low Utilization</v>
      </c>
      <c r="H18" s="21">
        <v>3</v>
      </c>
      <c r="I18" s="21">
        <v>0</v>
      </c>
      <c r="J18" s="21">
        <v>74039</v>
      </c>
      <c r="K18">
        <v>0.472911476806953</v>
      </c>
      <c r="L18" t="str">
        <f>IF(Table13[[#This Row],[Debt_to_Income_Ratio]]&lt;0.3,"Low DTI", IF(Table13[[#This Row],[Debt_to_Income_Ratio]]&lt;0.5,"Moderate DTI", "High DTI"))</f>
        <v>Moderate DTI</v>
      </c>
      <c r="M18" t="s">
        <v>26</v>
      </c>
      <c r="N18" s="21">
        <v>9</v>
      </c>
      <c r="O18" t="s">
        <v>37</v>
      </c>
      <c r="P18" t="s">
        <v>38</v>
      </c>
      <c r="Q18" t="s">
        <v>23</v>
      </c>
      <c r="R18" t="s">
        <v>24</v>
      </c>
      <c r="S18" t="s">
        <v>29</v>
      </c>
      <c r="T18" t="s">
        <v>24</v>
      </c>
      <c r="U18" t="s">
        <v>24</v>
      </c>
      <c r="V18" t="s">
        <v>23</v>
      </c>
    </row>
    <row r="19" spans="1:22">
      <c r="A19" t="s">
        <v>55</v>
      </c>
      <c r="B19" s="21">
        <v>20</v>
      </c>
      <c r="C19" s="21">
        <v>183152</v>
      </c>
      <c r="D19" s="21">
        <v>823</v>
      </c>
      <c r="E19" t="str">
        <f>VLOOKUP(Table13[[#This Row],[Credit_Score]],Table4[],2,TRUE)</f>
        <v>Low Risk</v>
      </c>
      <c r="F19">
        <v>0.70914702650806805</v>
      </c>
      <c r="G19" t="str">
        <f>IF(Table13[[#This Row],[Credit_Utilization]]&lt;0.3,"Low Utilization",
IF(Table13[[#This Row],[Credit_Utilization]]&lt;0.7,"Moderate Utilization",
"High Utilization"))</f>
        <v>High Utilization</v>
      </c>
      <c r="H19" s="21">
        <v>0</v>
      </c>
      <c r="I19" s="21">
        <v>1</v>
      </c>
      <c r="J19" s="21">
        <v>28018</v>
      </c>
      <c r="K19">
        <v>0.30742792440828398</v>
      </c>
      <c r="L19" t="str">
        <f>IF(Table13[[#This Row],[Debt_to_Income_Ratio]]&lt;0.3,"Low DTI", IF(Table13[[#This Row],[Debt_to_Income_Ratio]]&lt;0.5,"Moderate DTI", "High DTI"))</f>
        <v>Moderate DTI</v>
      </c>
      <c r="M19" t="s">
        <v>34</v>
      </c>
      <c r="N19" s="21">
        <v>19</v>
      </c>
      <c r="O19" t="s">
        <v>45</v>
      </c>
      <c r="P19" t="s">
        <v>38</v>
      </c>
      <c r="Q19" t="s">
        <v>29</v>
      </c>
      <c r="R19" t="s">
        <v>29</v>
      </c>
      <c r="S19" t="s">
        <v>23</v>
      </c>
      <c r="T19" t="s">
        <v>23</v>
      </c>
      <c r="U19" t="s">
        <v>29</v>
      </c>
      <c r="V19" t="s">
        <v>23</v>
      </c>
    </row>
    <row r="20" spans="1:22">
      <c r="A20" t="s">
        <v>56</v>
      </c>
      <c r="B20" s="21">
        <v>39</v>
      </c>
      <c r="C20" s="21">
        <v>81040</v>
      </c>
      <c r="D20" s="21">
        <v>831</v>
      </c>
      <c r="E20" t="str">
        <f>VLOOKUP(Table13[[#This Row],[Credit_Score]],Table4[],2,TRUE)</f>
        <v>Low Risk</v>
      </c>
      <c r="F20">
        <v>0.53382481001981796</v>
      </c>
      <c r="G20" t="str">
        <f>IF(Table13[[#This Row],[Credit_Utilization]]&lt;0.3,"Low Utilization",
IF(Table13[[#This Row],[Credit_Utilization]]&lt;0.7,"Moderate Utilization",
"High Utilization"))</f>
        <v>Moderate Utilization</v>
      </c>
      <c r="H20" s="21">
        <v>5</v>
      </c>
      <c r="I20" s="21">
        <v>0</v>
      </c>
      <c r="J20" s="21">
        <v>16034</v>
      </c>
      <c r="K20">
        <v>0.40976249648611601</v>
      </c>
      <c r="L20" t="str">
        <f>IF(Table13[[#This Row],[Debt_to_Income_Ratio]]&lt;0.3,"Low DTI", IF(Table13[[#This Row],[Debt_to_Income_Ratio]]&lt;0.5,"Moderate DTI", "High DTI"))</f>
        <v>Moderate DTI</v>
      </c>
      <c r="M20" t="s">
        <v>34</v>
      </c>
      <c r="N20" s="21">
        <v>17</v>
      </c>
      <c r="O20" t="s">
        <v>21</v>
      </c>
      <c r="P20" t="s">
        <v>32</v>
      </c>
      <c r="Q20" t="s">
        <v>24</v>
      </c>
      <c r="R20" t="s">
        <v>29</v>
      </c>
      <c r="S20" t="s">
        <v>29</v>
      </c>
      <c r="T20" t="s">
        <v>23</v>
      </c>
      <c r="U20" t="s">
        <v>29</v>
      </c>
      <c r="V20" t="s">
        <v>24</v>
      </c>
    </row>
    <row r="21" spans="1:22">
      <c r="A21" t="s">
        <v>57</v>
      </c>
      <c r="B21" s="21">
        <v>70</v>
      </c>
      <c r="C21" s="21">
        <v>181319</v>
      </c>
      <c r="D21" s="21">
        <v>486</v>
      </c>
      <c r="E21" t="str">
        <f>VLOOKUP(Table13[[#This Row],[Credit_Score]],Table4[],2,TRUE)</f>
        <v>High Risk</v>
      </c>
      <c r="F21">
        <v>0.55031421696646299</v>
      </c>
      <c r="G21" t="str">
        <f>IF(Table13[[#This Row],[Credit_Utilization]]&lt;0.3,"Low Utilization",
IF(Table13[[#This Row],[Credit_Utilization]]&lt;0.7,"Moderate Utilization",
"High Utilization"))</f>
        <v>Moderate Utilization</v>
      </c>
      <c r="H21" s="21">
        <v>2</v>
      </c>
      <c r="I21" s="21">
        <v>0</v>
      </c>
      <c r="J21" s="21">
        <v>2420</v>
      </c>
      <c r="K21">
        <v>0.303830058752242</v>
      </c>
      <c r="L21" t="str">
        <f>IF(Table13[[#This Row],[Debt_to_Income_Ratio]]&lt;0.3,"Low DTI", IF(Table13[[#This Row],[Debt_to_Income_Ratio]]&lt;0.5,"Moderate DTI", "High DTI"))</f>
        <v>Moderate DTI</v>
      </c>
      <c r="M21" t="s">
        <v>50</v>
      </c>
      <c r="N21" s="21">
        <v>19</v>
      </c>
      <c r="O21" t="s">
        <v>21</v>
      </c>
      <c r="P21" t="s">
        <v>22</v>
      </c>
      <c r="Q21" t="s">
        <v>23</v>
      </c>
      <c r="R21" t="s">
        <v>24</v>
      </c>
      <c r="S21" t="s">
        <v>23</v>
      </c>
      <c r="T21" t="s">
        <v>23</v>
      </c>
      <c r="U21" t="s">
        <v>23</v>
      </c>
      <c r="V21" t="s">
        <v>24</v>
      </c>
    </row>
    <row r="22" spans="1:22">
      <c r="A22" t="s">
        <v>58</v>
      </c>
      <c r="B22" s="21">
        <v>19</v>
      </c>
      <c r="C22" s="21">
        <v>199402</v>
      </c>
      <c r="D22" s="21">
        <v>783</v>
      </c>
      <c r="E22" t="str">
        <f>VLOOKUP(Table13[[#This Row],[Credit_Score]],Table4[],2,TRUE)</f>
        <v>Low Risk</v>
      </c>
      <c r="F22">
        <v>0.66190785440118105</v>
      </c>
      <c r="G22" t="str">
        <f>IF(Table13[[#This Row],[Credit_Utilization]]&lt;0.3,"Low Utilization",
IF(Table13[[#This Row],[Credit_Utilization]]&lt;0.7,"Moderate Utilization",
"High Utilization"))</f>
        <v>Moderate Utilization</v>
      </c>
      <c r="H22" s="21">
        <v>4</v>
      </c>
      <c r="I22" s="21">
        <v>0</v>
      </c>
      <c r="J22" s="21">
        <v>43942</v>
      </c>
      <c r="K22">
        <v>0.33938875948105701</v>
      </c>
      <c r="L22" t="str">
        <f>IF(Table13[[#This Row],[Debt_to_Income_Ratio]]&lt;0.3,"Low DTI", IF(Table13[[#This Row],[Debt_to_Income_Ratio]]&lt;0.5,"Moderate DTI", "High DTI"))</f>
        <v>Moderate DTI</v>
      </c>
      <c r="M22" t="s">
        <v>26</v>
      </c>
      <c r="N22" s="21">
        <v>8</v>
      </c>
      <c r="O22" t="s">
        <v>27</v>
      </c>
      <c r="P22" t="s">
        <v>53</v>
      </c>
      <c r="Q22" t="s">
        <v>23</v>
      </c>
      <c r="R22" t="s">
        <v>23</v>
      </c>
      <c r="S22" t="s">
        <v>29</v>
      </c>
      <c r="T22" t="s">
        <v>29</v>
      </c>
      <c r="U22" t="s">
        <v>29</v>
      </c>
      <c r="V22" t="s">
        <v>23</v>
      </c>
    </row>
    <row r="23" spans="1:22">
      <c r="A23" t="s">
        <v>59</v>
      </c>
      <c r="B23" s="21">
        <v>41</v>
      </c>
      <c r="C23" s="21">
        <v>40351</v>
      </c>
      <c r="D23" s="21">
        <v>690</v>
      </c>
      <c r="E23" t="str">
        <f>VLOOKUP(Table13[[#This Row],[Credit_Score]],Table4[],2,TRUE)</f>
        <v>Medium Risk</v>
      </c>
      <c r="F23">
        <v>0.23800456834352099</v>
      </c>
      <c r="G23" t="str">
        <f>IF(Table13[[#This Row],[Credit_Utilization]]&lt;0.3,"Low Utilization",
IF(Table13[[#This Row],[Credit_Utilization]]&lt;0.7,"Moderate Utilization",
"High Utilization"))</f>
        <v>Low Utilization</v>
      </c>
      <c r="H23" s="21">
        <v>2</v>
      </c>
      <c r="I23" s="21">
        <v>1</v>
      </c>
      <c r="J23" s="21">
        <v>2200</v>
      </c>
      <c r="K23">
        <v>0.29185612190572202</v>
      </c>
      <c r="L23" t="str">
        <f>IF(Table13[[#This Row],[Debt_to_Income_Ratio]]&lt;0.3,"Low DTI", IF(Table13[[#This Row],[Debt_to_Income_Ratio]]&lt;0.5,"Moderate DTI", "High DTI"))</f>
        <v>Low DTI</v>
      </c>
      <c r="M23" t="s">
        <v>34</v>
      </c>
      <c r="N23" s="21">
        <v>14</v>
      </c>
      <c r="O23" t="s">
        <v>31</v>
      </c>
      <c r="P23" t="s">
        <v>32</v>
      </c>
      <c r="Q23" t="s">
        <v>24</v>
      </c>
      <c r="R23" t="s">
        <v>24</v>
      </c>
      <c r="S23" t="s">
        <v>29</v>
      </c>
      <c r="T23" t="s">
        <v>29</v>
      </c>
      <c r="U23" t="s">
        <v>23</v>
      </c>
      <c r="V23" t="s">
        <v>24</v>
      </c>
    </row>
    <row r="24" spans="1:22">
      <c r="A24" t="s">
        <v>60</v>
      </c>
      <c r="B24" s="21">
        <v>61</v>
      </c>
      <c r="C24" s="21">
        <v>154487</v>
      </c>
      <c r="D24" s="21">
        <v>321</v>
      </c>
      <c r="E24" t="str">
        <f>VLOOKUP(Table13[[#This Row],[Credit_Score]],Table4[],2,TRUE)</f>
        <v>High Risk</v>
      </c>
      <c r="F24">
        <v>0.173699835723167</v>
      </c>
      <c r="G24" t="str">
        <f>IF(Table13[[#This Row],[Credit_Utilization]]&lt;0.3,"Low Utilization",
IF(Table13[[#This Row],[Credit_Utilization]]&lt;0.7,"Moderate Utilization",
"High Utilization"))</f>
        <v>Low Utilization</v>
      </c>
      <c r="H24" s="21">
        <v>0</v>
      </c>
      <c r="I24" s="21">
        <v>0</v>
      </c>
      <c r="J24" s="21">
        <v>81757</v>
      </c>
      <c r="K24">
        <v>0.30953013538739299</v>
      </c>
      <c r="L24" t="str">
        <f>IF(Table13[[#This Row],[Debt_to_Income_Ratio]]&lt;0.3,"Low DTI", IF(Table13[[#This Row],[Debt_to_Income_Ratio]]&lt;0.5,"Moderate DTI", "High DTI"))</f>
        <v>Moderate DTI</v>
      </c>
      <c r="M24" t="s">
        <v>34</v>
      </c>
      <c r="N24" s="21">
        <v>3</v>
      </c>
      <c r="O24" t="s">
        <v>37</v>
      </c>
      <c r="P24" t="s">
        <v>38</v>
      </c>
      <c r="Q24" t="s">
        <v>23</v>
      </c>
      <c r="R24" t="s">
        <v>29</v>
      </c>
      <c r="S24" t="s">
        <v>29</v>
      </c>
      <c r="T24" t="s">
        <v>29</v>
      </c>
      <c r="U24" t="s">
        <v>23</v>
      </c>
      <c r="V24" t="s">
        <v>29</v>
      </c>
    </row>
    <row r="25" spans="1:22">
      <c r="A25" t="s">
        <v>61</v>
      </c>
      <c r="B25" s="21">
        <v>47</v>
      </c>
      <c r="C25" s="21">
        <v>108468</v>
      </c>
      <c r="D25" s="21">
        <v>538</v>
      </c>
      <c r="E25" t="str">
        <f>VLOOKUP(Table13[[#This Row],[Credit_Score]],Table4[],2,TRUE)</f>
        <v>High Risk</v>
      </c>
      <c r="F25">
        <v>0.81619085898064003</v>
      </c>
      <c r="G25" t="str">
        <f>IF(Table13[[#This Row],[Credit_Utilization]]&lt;0.3,"Low Utilization",
IF(Table13[[#This Row],[Credit_Utilization]]&lt;0.7,"Moderate Utilization",
"High Utilization"))</f>
        <v>High Utilization</v>
      </c>
      <c r="H25" s="21">
        <v>2</v>
      </c>
      <c r="I25" s="21">
        <v>1</v>
      </c>
      <c r="J25" s="21">
        <v>45776</v>
      </c>
      <c r="K25">
        <v>0.31705318603879901</v>
      </c>
      <c r="L25" t="str">
        <f>IF(Table13[[#This Row],[Debt_to_Income_Ratio]]&lt;0.3,"Low DTI", IF(Table13[[#This Row],[Debt_to_Income_Ratio]]&lt;0.5,"Moderate DTI", "High DTI"))</f>
        <v>Moderate DTI</v>
      </c>
      <c r="M25" t="s">
        <v>50</v>
      </c>
      <c r="N25" s="21">
        <v>7</v>
      </c>
      <c r="O25" t="s">
        <v>37</v>
      </c>
      <c r="P25" t="s">
        <v>28</v>
      </c>
      <c r="Q25" t="s">
        <v>23</v>
      </c>
      <c r="R25" t="s">
        <v>23</v>
      </c>
      <c r="S25" t="s">
        <v>23</v>
      </c>
      <c r="T25" t="s">
        <v>29</v>
      </c>
      <c r="U25" t="s">
        <v>23</v>
      </c>
      <c r="V25" t="s">
        <v>23</v>
      </c>
    </row>
    <row r="26" spans="1:22">
      <c r="A26" t="s">
        <v>62</v>
      </c>
      <c r="B26" s="21">
        <v>55</v>
      </c>
      <c r="C26" s="21">
        <v>41646</v>
      </c>
      <c r="D26" s="21">
        <v>847</v>
      </c>
      <c r="E26" t="str">
        <f>VLOOKUP(Table13[[#This Row],[Credit_Score]],Table4[],2,TRUE)</f>
        <v>Low Risk</v>
      </c>
      <c r="F26">
        <v>0.212566647851541</v>
      </c>
      <c r="G26" t="str">
        <f>IF(Table13[[#This Row],[Credit_Utilization]]&lt;0.3,"Low Utilization",
IF(Table13[[#This Row],[Credit_Utilization]]&lt;0.7,"Moderate Utilization",
"High Utilization"))</f>
        <v>Low Utilization</v>
      </c>
      <c r="H26" s="21">
        <v>5</v>
      </c>
      <c r="I26" s="21">
        <v>0</v>
      </c>
      <c r="J26" s="21">
        <v>28018</v>
      </c>
      <c r="K26">
        <v>0.23302681675115999</v>
      </c>
      <c r="L26" t="str">
        <f>IF(Table13[[#This Row],[Debt_to_Income_Ratio]]&lt;0.3,"Low DTI", IF(Table13[[#This Row],[Debt_to_Income_Ratio]]&lt;0.5,"Moderate DTI", "High DTI"))</f>
        <v>Low DTI</v>
      </c>
      <c r="M26" t="s">
        <v>50</v>
      </c>
      <c r="N26" s="21">
        <v>8</v>
      </c>
      <c r="O26" t="s">
        <v>27</v>
      </c>
      <c r="P26" t="s">
        <v>22</v>
      </c>
      <c r="Q26" t="s">
        <v>29</v>
      </c>
      <c r="R26" t="s">
        <v>24</v>
      </c>
      <c r="S26" t="s">
        <v>24</v>
      </c>
      <c r="T26" t="s">
        <v>24</v>
      </c>
      <c r="U26" t="s">
        <v>23</v>
      </c>
      <c r="V26" t="s">
        <v>23</v>
      </c>
    </row>
    <row r="27" spans="1:22">
      <c r="A27" t="s">
        <v>63</v>
      </c>
      <c r="B27" s="21">
        <v>19</v>
      </c>
      <c r="C27" s="21">
        <v>193998</v>
      </c>
      <c r="D27" s="21">
        <v>515</v>
      </c>
      <c r="E27" t="str">
        <f>VLOOKUP(Table13[[#This Row],[Credit_Score]],Table4[],2,TRUE)</f>
        <v>High Risk</v>
      </c>
      <c r="F27">
        <v>0.25555244058488702</v>
      </c>
      <c r="G27" t="str">
        <f>IF(Table13[[#This Row],[Credit_Utilization]]&lt;0.3,"Low Utilization",
IF(Table13[[#This Row],[Credit_Utilization]]&lt;0.7,"Moderate Utilization",
"High Utilization"))</f>
        <v>Low Utilization</v>
      </c>
      <c r="H27" s="21">
        <v>5</v>
      </c>
      <c r="I27" s="21">
        <v>0</v>
      </c>
      <c r="J27" s="21">
        <v>45776</v>
      </c>
      <c r="K27">
        <v>0.25989313330769098</v>
      </c>
      <c r="L27" t="str">
        <f>IF(Table13[[#This Row],[Debt_to_Income_Ratio]]&lt;0.3,"Low DTI", IF(Table13[[#This Row],[Debt_to_Income_Ratio]]&lt;0.5,"Moderate DTI", "High DTI"))</f>
        <v>Low DTI</v>
      </c>
      <c r="M27" t="s">
        <v>43</v>
      </c>
      <c r="N27" s="21">
        <v>12</v>
      </c>
      <c r="O27" t="s">
        <v>37</v>
      </c>
      <c r="P27" t="s">
        <v>28</v>
      </c>
      <c r="Q27" t="s">
        <v>23</v>
      </c>
      <c r="R27" t="s">
        <v>24</v>
      </c>
      <c r="S27" t="s">
        <v>29</v>
      </c>
      <c r="T27" t="s">
        <v>23</v>
      </c>
      <c r="U27" t="s">
        <v>24</v>
      </c>
      <c r="V27" t="s">
        <v>29</v>
      </c>
    </row>
    <row r="28" spans="1:22">
      <c r="A28" t="s">
        <v>64</v>
      </c>
      <c r="B28" s="21">
        <v>38</v>
      </c>
      <c r="C28" s="21">
        <v>89740</v>
      </c>
      <c r="D28" s="21">
        <v>789</v>
      </c>
      <c r="E28" t="str">
        <f>VLOOKUP(Table13[[#This Row],[Credit_Score]],Table4[],2,TRUE)</f>
        <v>Low Risk</v>
      </c>
      <c r="F28">
        <v>0.29551292409084601</v>
      </c>
      <c r="G28" t="str">
        <f>IF(Table13[[#This Row],[Credit_Utilization]]&lt;0.3,"Low Utilization",
IF(Table13[[#This Row],[Credit_Utilization]]&lt;0.7,"Moderate Utilization",
"High Utilization"))</f>
        <v>Low Utilization</v>
      </c>
      <c r="H28" s="21">
        <v>0</v>
      </c>
      <c r="I28" s="21">
        <v>0</v>
      </c>
      <c r="J28" s="21">
        <v>89660</v>
      </c>
      <c r="K28">
        <v>0.27832449835138201</v>
      </c>
      <c r="L28" t="str">
        <f>IF(Table13[[#This Row],[Debt_to_Income_Ratio]]&lt;0.3,"Low DTI", IF(Table13[[#This Row],[Debt_to_Income_Ratio]]&lt;0.5,"Moderate DTI", "High DTI"))</f>
        <v>Low DTI</v>
      </c>
      <c r="M28" t="s">
        <v>50</v>
      </c>
      <c r="N28" s="21">
        <v>8</v>
      </c>
      <c r="O28" t="s">
        <v>27</v>
      </c>
      <c r="P28" t="s">
        <v>32</v>
      </c>
      <c r="Q28" t="s">
        <v>24</v>
      </c>
      <c r="R28" t="s">
        <v>29</v>
      </c>
      <c r="S28" t="s">
        <v>24</v>
      </c>
      <c r="T28" t="s">
        <v>24</v>
      </c>
      <c r="U28" t="s">
        <v>24</v>
      </c>
      <c r="V28" t="s">
        <v>29</v>
      </c>
    </row>
    <row r="29" spans="1:22">
      <c r="A29" t="s">
        <v>65</v>
      </c>
      <c r="B29" s="21">
        <v>50</v>
      </c>
      <c r="C29" s="21">
        <v>136790</v>
      </c>
      <c r="D29" s="21">
        <v>525</v>
      </c>
      <c r="E29" t="str">
        <f>VLOOKUP(Table13[[#This Row],[Credit_Score]],Table4[],2,TRUE)</f>
        <v>High Risk</v>
      </c>
      <c r="F29">
        <v>0.91598918473810398</v>
      </c>
      <c r="G29" t="str">
        <f>IF(Table13[[#This Row],[Credit_Utilization]]&lt;0.3,"Low Utilization",
IF(Table13[[#This Row],[Credit_Utilization]]&lt;0.7,"Moderate Utilization",
"High Utilization"))</f>
        <v>High Utilization</v>
      </c>
      <c r="H29" s="21">
        <v>3</v>
      </c>
      <c r="I29" s="21">
        <v>0</v>
      </c>
      <c r="J29" s="21">
        <v>43870</v>
      </c>
      <c r="K29">
        <v>0.32297110168022902</v>
      </c>
      <c r="L29" t="str">
        <f>IF(Table13[[#This Row],[Debt_to_Income_Ratio]]&lt;0.3,"Low DTI", IF(Table13[[#This Row],[Debt_to_Income_Ratio]]&lt;0.5,"Moderate DTI", "High DTI"))</f>
        <v>Moderate DTI</v>
      </c>
      <c r="M29" t="s">
        <v>43</v>
      </c>
      <c r="N29" s="21">
        <v>3</v>
      </c>
      <c r="O29" t="s">
        <v>45</v>
      </c>
      <c r="P29" t="s">
        <v>38</v>
      </c>
      <c r="Q29" t="s">
        <v>24</v>
      </c>
      <c r="R29" t="s">
        <v>29</v>
      </c>
      <c r="S29" t="s">
        <v>23</v>
      </c>
      <c r="T29" t="s">
        <v>23</v>
      </c>
      <c r="U29" t="s">
        <v>24</v>
      </c>
      <c r="V29" t="s">
        <v>29</v>
      </c>
    </row>
    <row r="30" spans="1:22">
      <c r="A30" t="s">
        <v>66</v>
      </c>
      <c r="B30" s="21">
        <v>29</v>
      </c>
      <c r="C30" s="21">
        <v>86726</v>
      </c>
      <c r="D30" s="21">
        <v>588</v>
      </c>
      <c r="E30" t="str">
        <f>VLOOKUP(Table13[[#This Row],[Credit_Score]],Table4[],2,TRUE)</f>
        <v>High Risk</v>
      </c>
      <c r="F30">
        <v>0.59867666008230402</v>
      </c>
      <c r="G30" t="str">
        <f>IF(Table13[[#This Row],[Credit_Utilization]]&lt;0.3,"Low Utilization",
IF(Table13[[#This Row],[Credit_Utilization]]&lt;0.7,"Moderate Utilization",
"High Utilization"))</f>
        <v>Moderate Utilization</v>
      </c>
      <c r="H30" s="21">
        <v>2</v>
      </c>
      <c r="I30" s="21">
        <v>0</v>
      </c>
      <c r="J30" s="21">
        <v>45776</v>
      </c>
      <c r="K30">
        <v>0.29694209804965299</v>
      </c>
      <c r="L30" t="str">
        <f>IF(Table13[[#This Row],[Debt_to_Income_Ratio]]&lt;0.3,"Low DTI", IF(Table13[[#This Row],[Debt_to_Income_Ratio]]&lt;0.5,"Moderate DTI", "High DTI"))</f>
        <v>Low DTI</v>
      </c>
      <c r="M30" t="s">
        <v>26</v>
      </c>
      <c r="N30" s="21">
        <v>16</v>
      </c>
      <c r="O30" t="s">
        <v>21</v>
      </c>
      <c r="P30" t="s">
        <v>53</v>
      </c>
      <c r="Q30" t="s">
        <v>23</v>
      </c>
      <c r="R30" t="s">
        <v>23</v>
      </c>
      <c r="S30" t="s">
        <v>24</v>
      </c>
      <c r="T30" t="s">
        <v>29</v>
      </c>
      <c r="U30" t="s">
        <v>23</v>
      </c>
      <c r="V30" t="s">
        <v>29</v>
      </c>
    </row>
    <row r="31" spans="1:22">
      <c r="A31" t="s">
        <v>67</v>
      </c>
      <c r="B31" s="21">
        <v>39</v>
      </c>
      <c r="C31" s="21">
        <v>88523</v>
      </c>
      <c r="D31" s="21">
        <v>523</v>
      </c>
      <c r="E31" t="str">
        <f>VLOOKUP(Table13[[#This Row],[Credit_Score]],Table4[],2,TRUE)</f>
        <v>High Risk</v>
      </c>
      <c r="F31">
        <v>0.69308159488707599</v>
      </c>
      <c r="G31" t="str">
        <f>IF(Table13[[#This Row],[Credit_Utilization]]&lt;0.3,"Low Utilization",
IF(Table13[[#This Row],[Credit_Utilization]]&lt;0.7,"Moderate Utilization",
"High Utilization"))</f>
        <v>Moderate Utilization</v>
      </c>
      <c r="H31" s="21">
        <v>3</v>
      </c>
      <c r="I31" s="21">
        <v>0</v>
      </c>
      <c r="J31" s="21">
        <v>29561</v>
      </c>
      <c r="K31">
        <v>0.41730325338257002</v>
      </c>
      <c r="L31" t="str">
        <f>IF(Table13[[#This Row],[Debt_to_Income_Ratio]]&lt;0.3,"Low DTI", IF(Table13[[#This Row],[Debt_to_Income_Ratio]]&lt;0.5,"Moderate DTI", "High DTI"))</f>
        <v>Moderate DTI</v>
      </c>
      <c r="M31" t="s">
        <v>43</v>
      </c>
      <c r="N31" s="21">
        <v>15</v>
      </c>
      <c r="O31" t="s">
        <v>31</v>
      </c>
      <c r="P31" t="s">
        <v>28</v>
      </c>
      <c r="Q31" t="s">
        <v>23</v>
      </c>
      <c r="R31" t="s">
        <v>29</v>
      </c>
      <c r="S31" t="s">
        <v>29</v>
      </c>
      <c r="T31" t="s">
        <v>29</v>
      </c>
      <c r="U31" t="s">
        <v>23</v>
      </c>
      <c r="V31" t="s">
        <v>29</v>
      </c>
    </row>
    <row r="32" spans="1:22">
      <c r="A32" t="s">
        <v>68</v>
      </c>
      <c r="B32" s="21">
        <v>61</v>
      </c>
      <c r="C32" s="21">
        <v>72458</v>
      </c>
      <c r="D32" s="21">
        <v>374</v>
      </c>
      <c r="E32" t="str">
        <f>VLOOKUP(Table13[[#This Row],[Credit_Score]],Table4[],2,TRUE)</f>
        <v>High Risk</v>
      </c>
      <c r="F32">
        <v>0.53923350911574497</v>
      </c>
      <c r="G32" t="str">
        <f>IF(Table13[[#This Row],[Credit_Utilization]]&lt;0.3,"Low Utilization",
IF(Table13[[#This Row],[Credit_Utilization]]&lt;0.7,"Moderate Utilization",
"High Utilization"))</f>
        <v>Moderate Utilization</v>
      </c>
      <c r="H32" s="21">
        <v>3</v>
      </c>
      <c r="I32" s="21">
        <v>0</v>
      </c>
      <c r="J32" s="21">
        <v>60530</v>
      </c>
      <c r="K32">
        <v>0.38471183189796399</v>
      </c>
      <c r="L32" t="str">
        <f>IF(Table13[[#This Row],[Debt_to_Income_Ratio]]&lt;0.3,"Low DTI", IF(Table13[[#This Row],[Debt_to_Income_Ratio]]&lt;0.5,"Moderate DTI", "High DTI"))</f>
        <v>Moderate DTI</v>
      </c>
      <c r="M32" t="s">
        <v>43</v>
      </c>
      <c r="N32" s="21">
        <v>14</v>
      </c>
      <c r="O32" t="s">
        <v>21</v>
      </c>
      <c r="P32" t="s">
        <v>53</v>
      </c>
      <c r="Q32" t="s">
        <v>29</v>
      </c>
      <c r="R32" t="s">
        <v>24</v>
      </c>
      <c r="S32" t="s">
        <v>23</v>
      </c>
      <c r="T32" t="s">
        <v>24</v>
      </c>
      <c r="U32" t="s">
        <v>29</v>
      </c>
      <c r="V32" t="s">
        <v>24</v>
      </c>
    </row>
    <row r="33" spans="1:22">
      <c r="A33" t="s">
        <v>69</v>
      </c>
      <c r="B33" s="21">
        <v>42</v>
      </c>
      <c r="C33" s="21">
        <v>60106</v>
      </c>
      <c r="D33" s="21">
        <v>385</v>
      </c>
      <c r="E33" t="str">
        <f>VLOOKUP(Table13[[#This Row],[Credit_Score]],Table4[],2,TRUE)</f>
        <v>High Risk</v>
      </c>
      <c r="F33">
        <v>0.37962255775975301</v>
      </c>
      <c r="G33" t="str">
        <f>IF(Table13[[#This Row],[Credit_Utilization]]&lt;0.3,"Low Utilization",
IF(Table13[[#This Row],[Credit_Utilization]]&lt;0.7,"Moderate Utilization",
"High Utilization"))</f>
        <v>Moderate Utilization</v>
      </c>
      <c r="H33" s="21">
        <v>1</v>
      </c>
      <c r="I33" s="21">
        <v>0</v>
      </c>
      <c r="J33" s="21">
        <v>46663</v>
      </c>
      <c r="K33">
        <v>0.28036724439746202</v>
      </c>
      <c r="L33" t="str">
        <f>IF(Table13[[#This Row],[Debt_to_Income_Ratio]]&lt;0.3,"Low DTI", IF(Table13[[#This Row],[Debt_to_Income_Ratio]]&lt;0.5,"Moderate DTI", "High DTI"))</f>
        <v>Low DTI</v>
      </c>
      <c r="M33" t="s">
        <v>34</v>
      </c>
      <c r="N33" s="21">
        <v>2</v>
      </c>
      <c r="O33" t="s">
        <v>21</v>
      </c>
      <c r="P33" t="s">
        <v>38</v>
      </c>
      <c r="Q33" t="s">
        <v>29</v>
      </c>
      <c r="R33" t="s">
        <v>23</v>
      </c>
      <c r="S33" t="s">
        <v>23</v>
      </c>
      <c r="T33" t="s">
        <v>29</v>
      </c>
      <c r="U33" t="s">
        <v>29</v>
      </c>
      <c r="V33" t="s">
        <v>24</v>
      </c>
    </row>
    <row r="34" spans="1:22">
      <c r="A34" t="s">
        <v>70</v>
      </c>
      <c r="B34" s="21">
        <v>66</v>
      </c>
      <c r="C34" s="21">
        <v>106362</v>
      </c>
      <c r="D34" s="21">
        <v>806</v>
      </c>
      <c r="E34" t="str">
        <f>VLOOKUP(Table13[[#This Row],[Credit_Score]],Table4[],2,TRUE)</f>
        <v>Low Risk</v>
      </c>
      <c r="F34">
        <v>0.62625825665203305</v>
      </c>
      <c r="G34" t="str">
        <f>IF(Table13[[#This Row],[Credit_Utilization]]&lt;0.3,"Low Utilization",
IF(Table13[[#This Row],[Credit_Utilization]]&lt;0.7,"Moderate Utilization",
"High Utilization"))</f>
        <v>Moderate Utilization</v>
      </c>
      <c r="H34" s="21">
        <v>0</v>
      </c>
      <c r="I34" s="21">
        <v>1</v>
      </c>
      <c r="J34" s="21">
        <v>11308</v>
      </c>
      <c r="K34">
        <v>0.43817838974519302</v>
      </c>
      <c r="L34" t="str">
        <f>IF(Table13[[#This Row],[Debt_to_Income_Ratio]]&lt;0.3,"Low DTI", IF(Table13[[#This Row],[Debt_to_Income_Ratio]]&lt;0.5,"Moderate DTI", "High DTI"))</f>
        <v>Moderate DTI</v>
      </c>
      <c r="M34" t="s">
        <v>34</v>
      </c>
      <c r="N34" s="21">
        <v>19</v>
      </c>
      <c r="O34" t="s">
        <v>45</v>
      </c>
      <c r="P34" t="s">
        <v>28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29</v>
      </c>
    </row>
    <row r="35" spans="1:22">
      <c r="A35" t="s">
        <v>71</v>
      </c>
      <c r="B35" s="21">
        <v>44</v>
      </c>
      <c r="C35" s="21">
        <v>99076</v>
      </c>
      <c r="D35" s="21">
        <v>440</v>
      </c>
      <c r="E35" t="str">
        <f>VLOOKUP(Table13[[#This Row],[Credit_Score]],Table4[],2,TRUE)</f>
        <v>High Risk</v>
      </c>
      <c r="F35">
        <v>0.18867680584063901</v>
      </c>
      <c r="G35" t="str">
        <f>IF(Table13[[#This Row],[Credit_Utilization]]&lt;0.3,"Low Utilization",
IF(Table13[[#This Row],[Credit_Utilization]]&lt;0.7,"Moderate Utilization",
"High Utilization"))</f>
        <v>Low Utilization</v>
      </c>
      <c r="H35" s="21">
        <v>4</v>
      </c>
      <c r="I35" s="21">
        <v>0</v>
      </c>
      <c r="J35" s="21">
        <v>99005</v>
      </c>
      <c r="K35">
        <v>0.48730206235754497</v>
      </c>
      <c r="L35" t="str">
        <f>IF(Table13[[#This Row],[Debt_to_Income_Ratio]]&lt;0.3,"Low DTI", IF(Table13[[#This Row],[Debt_to_Income_Ratio]]&lt;0.5,"Moderate DTI", "High DTI"))</f>
        <v>Moderate DTI</v>
      </c>
      <c r="M35" t="s">
        <v>43</v>
      </c>
      <c r="N35" s="21">
        <v>4</v>
      </c>
      <c r="O35" t="s">
        <v>37</v>
      </c>
      <c r="P35" t="s">
        <v>53</v>
      </c>
      <c r="Q35" t="s">
        <v>24</v>
      </c>
      <c r="R35" t="s">
        <v>23</v>
      </c>
      <c r="S35" t="s">
        <v>23</v>
      </c>
      <c r="T35" t="s">
        <v>24</v>
      </c>
      <c r="U35" t="s">
        <v>29</v>
      </c>
      <c r="V35" t="s">
        <v>24</v>
      </c>
    </row>
    <row r="36" spans="1:22">
      <c r="A36" t="s">
        <v>72</v>
      </c>
      <c r="B36" s="21">
        <v>59</v>
      </c>
      <c r="C36" s="21">
        <v>69693</v>
      </c>
      <c r="D36" s="21">
        <v>316</v>
      </c>
      <c r="E36" t="str">
        <f>VLOOKUP(Table13[[#This Row],[Credit_Score]],Table4[],2,TRUE)</f>
        <v>High Risk</v>
      </c>
      <c r="F36">
        <v>0.28094330958070102</v>
      </c>
      <c r="G36" t="str">
        <f>IF(Table13[[#This Row],[Credit_Utilization]]&lt;0.3,"Low Utilization",
IF(Table13[[#This Row],[Credit_Utilization]]&lt;0.7,"Moderate Utilization",
"High Utilization"))</f>
        <v>Low Utilization</v>
      </c>
      <c r="H36" s="21">
        <v>5</v>
      </c>
      <c r="I36" s="21">
        <v>1</v>
      </c>
      <c r="J36" s="21">
        <v>60278</v>
      </c>
      <c r="K36">
        <v>0.1</v>
      </c>
      <c r="L36" t="str">
        <f>IF(Table13[[#This Row],[Debt_to_Income_Ratio]]&lt;0.3,"Low DTI", IF(Table13[[#This Row],[Debt_to_Income_Ratio]]&lt;0.5,"Moderate DTI", "High DTI"))</f>
        <v>Low DTI</v>
      </c>
      <c r="M36" t="s">
        <v>50</v>
      </c>
      <c r="N36" s="21">
        <v>4</v>
      </c>
      <c r="O36" t="s">
        <v>31</v>
      </c>
      <c r="P36" t="s">
        <v>53</v>
      </c>
      <c r="Q36" t="s">
        <v>29</v>
      </c>
      <c r="R36" t="s">
        <v>24</v>
      </c>
      <c r="S36" t="s">
        <v>23</v>
      </c>
      <c r="T36" t="s">
        <v>23</v>
      </c>
      <c r="U36" t="s">
        <v>29</v>
      </c>
      <c r="V36" t="s">
        <v>23</v>
      </c>
    </row>
    <row r="37" spans="1:22">
      <c r="A37" t="s">
        <v>73</v>
      </c>
      <c r="B37" s="21">
        <v>45</v>
      </c>
      <c r="C37" s="21">
        <v>137402</v>
      </c>
      <c r="D37" s="21">
        <v>464</v>
      </c>
      <c r="E37" t="str">
        <f>VLOOKUP(Table13[[#This Row],[Credit_Score]],Table4[],2,TRUE)</f>
        <v>High Risk</v>
      </c>
      <c r="F37">
        <v>0.64659503585229605</v>
      </c>
      <c r="G37" t="str">
        <f>IF(Table13[[#This Row],[Credit_Utilization]]&lt;0.3,"Low Utilization",
IF(Table13[[#This Row],[Credit_Utilization]]&lt;0.7,"Moderate Utilization",
"High Utilization"))</f>
        <v>Moderate Utilization</v>
      </c>
      <c r="H37" s="21">
        <v>5</v>
      </c>
      <c r="I37" s="21">
        <v>0</v>
      </c>
      <c r="J37" s="21">
        <v>65119</v>
      </c>
      <c r="K37">
        <v>0.39322900850662701</v>
      </c>
      <c r="L37" t="str">
        <f>IF(Table13[[#This Row],[Debt_to_Income_Ratio]]&lt;0.3,"Low DTI", IF(Table13[[#This Row],[Debt_to_Income_Ratio]]&lt;0.5,"Moderate DTI", "High DTI"))</f>
        <v>Moderate DTI</v>
      </c>
      <c r="M37" t="s">
        <v>34</v>
      </c>
      <c r="N37" s="21">
        <v>19</v>
      </c>
      <c r="O37" t="s">
        <v>37</v>
      </c>
      <c r="P37" t="s">
        <v>28</v>
      </c>
      <c r="Q37" t="s">
        <v>24</v>
      </c>
      <c r="R37" t="s">
        <v>24</v>
      </c>
      <c r="S37" t="s">
        <v>24</v>
      </c>
      <c r="T37" t="s">
        <v>29</v>
      </c>
      <c r="U37" t="s">
        <v>29</v>
      </c>
      <c r="V37" t="s">
        <v>29</v>
      </c>
    </row>
    <row r="38" spans="1:22">
      <c r="A38" t="s">
        <v>74</v>
      </c>
      <c r="B38" s="21">
        <v>33</v>
      </c>
      <c r="C38" s="21">
        <v>53756</v>
      </c>
      <c r="D38" s="21">
        <v>521</v>
      </c>
      <c r="E38" t="str">
        <f>VLOOKUP(Table13[[#This Row],[Credit_Score]],Table4[],2,TRUE)</f>
        <v>High Risk</v>
      </c>
      <c r="F38">
        <v>0.22854895383464299</v>
      </c>
      <c r="G38" t="str">
        <f>IF(Table13[[#This Row],[Credit_Utilization]]&lt;0.3,"Low Utilization",
IF(Table13[[#This Row],[Credit_Utilization]]&lt;0.7,"Moderate Utilization",
"High Utilization"))</f>
        <v>Low Utilization</v>
      </c>
      <c r="H38" s="21">
        <v>0</v>
      </c>
      <c r="I38" s="21">
        <v>0</v>
      </c>
      <c r="J38" s="21">
        <v>36029</v>
      </c>
      <c r="K38">
        <v>0.23070158026685</v>
      </c>
      <c r="L38" t="str">
        <f>IF(Table13[[#This Row],[Debt_to_Income_Ratio]]&lt;0.3,"Low DTI", IF(Table13[[#This Row],[Debt_to_Income_Ratio]]&lt;0.5,"Moderate DTI", "High DTI"))</f>
        <v>Low DTI</v>
      </c>
      <c r="M38" t="s">
        <v>43</v>
      </c>
      <c r="N38" s="21">
        <v>14</v>
      </c>
      <c r="O38" t="s">
        <v>21</v>
      </c>
      <c r="P38" t="s">
        <v>38</v>
      </c>
      <c r="Q38" t="s">
        <v>23</v>
      </c>
      <c r="R38" t="s">
        <v>24</v>
      </c>
      <c r="S38" t="s">
        <v>24</v>
      </c>
      <c r="T38" t="s">
        <v>29</v>
      </c>
      <c r="U38" t="s">
        <v>29</v>
      </c>
      <c r="V38" t="s">
        <v>24</v>
      </c>
    </row>
    <row r="39" spans="1:22">
      <c r="A39" t="s">
        <v>75</v>
      </c>
      <c r="B39" s="21">
        <v>32</v>
      </c>
      <c r="C39" s="21">
        <v>181319</v>
      </c>
      <c r="D39" s="21">
        <v>467</v>
      </c>
      <c r="E39" t="str">
        <f>VLOOKUP(Table13[[#This Row],[Credit_Score]],Table4[],2,TRUE)</f>
        <v>High Risk</v>
      </c>
      <c r="F39">
        <v>0.462183706167625</v>
      </c>
      <c r="G39" t="str">
        <f>IF(Table13[[#This Row],[Credit_Utilization]]&lt;0.3,"Low Utilization",
IF(Table13[[#This Row],[Credit_Utilization]]&lt;0.7,"Moderate Utilization",
"High Utilization"))</f>
        <v>Moderate Utilization</v>
      </c>
      <c r="H39" s="21">
        <v>6</v>
      </c>
      <c r="I39" s="21">
        <v>0</v>
      </c>
      <c r="J39" s="21">
        <v>62010</v>
      </c>
      <c r="K39">
        <v>0.38007480213232903</v>
      </c>
      <c r="L39" t="str">
        <f>IF(Table13[[#This Row],[Debt_to_Income_Ratio]]&lt;0.3,"Low DTI", IF(Table13[[#This Row],[Debt_to_Income_Ratio]]&lt;0.5,"Moderate DTI", "High DTI"))</f>
        <v>Moderate DTI</v>
      </c>
      <c r="M39" t="s">
        <v>43</v>
      </c>
      <c r="N39" s="21">
        <v>17</v>
      </c>
      <c r="O39" t="s">
        <v>27</v>
      </c>
      <c r="P39" t="s">
        <v>53</v>
      </c>
      <c r="Q39" t="s">
        <v>24</v>
      </c>
      <c r="R39" t="s">
        <v>29</v>
      </c>
      <c r="S39" t="s">
        <v>29</v>
      </c>
      <c r="T39" t="s">
        <v>29</v>
      </c>
      <c r="U39" t="s">
        <v>24</v>
      </c>
      <c r="V39" t="s">
        <v>29</v>
      </c>
    </row>
    <row r="40" spans="1:22">
      <c r="A40" t="s">
        <v>76</v>
      </c>
      <c r="B40" s="21">
        <v>64</v>
      </c>
      <c r="C40" s="21">
        <v>183152</v>
      </c>
      <c r="D40" s="21">
        <v>823</v>
      </c>
      <c r="E40" t="str">
        <f>VLOOKUP(Table13[[#This Row],[Credit_Score]],Table4[],2,TRUE)</f>
        <v>Low Risk</v>
      </c>
      <c r="F40">
        <v>0.47129753112891698</v>
      </c>
      <c r="G40" t="str">
        <f>IF(Table13[[#This Row],[Credit_Utilization]]&lt;0.3,"Low Utilization",
IF(Table13[[#This Row],[Credit_Utilization]]&lt;0.7,"Moderate Utilization",
"High Utilization"))</f>
        <v>Moderate Utilization</v>
      </c>
      <c r="H40" s="21">
        <v>6</v>
      </c>
      <c r="I40" s="21">
        <v>0</v>
      </c>
      <c r="J40" s="21">
        <v>87164</v>
      </c>
      <c r="K40">
        <v>0.42382379406464299</v>
      </c>
      <c r="L40" t="str">
        <f>IF(Table13[[#This Row],[Debt_to_Income_Ratio]]&lt;0.3,"Low DTI", IF(Table13[[#This Row],[Debt_to_Income_Ratio]]&lt;0.5,"Moderate DTI", "High DTI"))</f>
        <v>Moderate DTI</v>
      </c>
      <c r="M40" t="s">
        <v>43</v>
      </c>
      <c r="N40" s="21">
        <v>14</v>
      </c>
      <c r="O40" t="s">
        <v>21</v>
      </c>
      <c r="P40" t="s">
        <v>32</v>
      </c>
      <c r="Q40" t="s">
        <v>23</v>
      </c>
      <c r="R40" t="s">
        <v>29</v>
      </c>
      <c r="S40" t="s">
        <v>23</v>
      </c>
      <c r="T40" t="s">
        <v>24</v>
      </c>
      <c r="U40" t="s">
        <v>24</v>
      </c>
      <c r="V40" t="s">
        <v>29</v>
      </c>
    </row>
    <row r="41" spans="1:22">
      <c r="A41" t="s">
        <v>77</v>
      </c>
      <c r="B41" s="21">
        <v>68</v>
      </c>
      <c r="C41" s="21">
        <v>97750</v>
      </c>
      <c r="D41" s="21">
        <v>352</v>
      </c>
      <c r="E41" t="str">
        <f>VLOOKUP(Table13[[#This Row],[Credit_Score]],Table4[],2,TRUE)</f>
        <v>High Risk</v>
      </c>
      <c r="F41">
        <v>0.394267599332567</v>
      </c>
      <c r="G41" t="str">
        <f>IF(Table13[[#This Row],[Credit_Utilization]]&lt;0.3,"Low Utilization",
IF(Table13[[#This Row],[Credit_Utilization]]&lt;0.7,"Moderate Utilization",
"High Utilization"))</f>
        <v>Moderate Utilization</v>
      </c>
      <c r="H41" s="21">
        <v>6</v>
      </c>
      <c r="I41" s="21">
        <v>0</v>
      </c>
      <c r="J41" s="21">
        <v>91432</v>
      </c>
      <c r="K41">
        <v>0.21230074054894399</v>
      </c>
      <c r="L41" t="str">
        <f>IF(Table13[[#This Row],[Debt_to_Income_Ratio]]&lt;0.3,"Low DTI", IF(Table13[[#This Row],[Debt_to_Income_Ratio]]&lt;0.5,"Moderate DTI", "High DTI"))</f>
        <v>Low DTI</v>
      </c>
      <c r="M41" t="s">
        <v>43</v>
      </c>
      <c r="N41" s="21">
        <v>1</v>
      </c>
      <c r="O41" t="s">
        <v>37</v>
      </c>
      <c r="P41" t="s">
        <v>28</v>
      </c>
      <c r="Q41" t="s">
        <v>29</v>
      </c>
      <c r="R41" t="s">
        <v>23</v>
      </c>
      <c r="S41" t="s">
        <v>23</v>
      </c>
      <c r="T41" t="s">
        <v>29</v>
      </c>
      <c r="U41" t="s">
        <v>29</v>
      </c>
      <c r="V41" t="s">
        <v>29</v>
      </c>
    </row>
    <row r="42" spans="1:22">
      <c r="A42" t="s">
        <v>78</v>
      </c>
      <c r="B42" s="21">
        <v>61</v>
      </c>
      <c r="C42" s="21">
        <v>107658</v>
      </c>
      <c r="D42" s="21">
        <v>372</v>
      </c>
      <c r="E42" t="str">
        <f>VLOOKUP(Table13[[#This Row],[Credit_Score]],Table4[],2,TRUE)</f>
        <v>High Risk</v>
      </c>
      <c r="F42">
        <v>0.10977630503022801</v>
      </c>
      <c r="G42" t="str">
        <f>IF(Table13[[#This Row],[Credit_Utilization]]&lt;0.3,"Low Utilization",
IF(Table13[[#This Row],[Credit_Utilization]]&lt;0.7,"Moderate Utilization",
"High Utilization"))</f>
        <v>Low Utilization</v>
      </c>
      <c r="H42" s="21">
        <v>4</v>
      </c>
      <c r="I42" s="21">
        <v>0</v>
      </c>
      <c r="J42" s="21">
        <v>44454</v>
      </c>
      <c r="K42">
        <v>0.114767290098423</v>
      </c>
      <c r="L42" t="str">
        <f>IF(Table13[[#This Row],[Debt_to_Income_Ratio]]&lt;0.3,"Low DTI", IF(Table13[[#This Row],[Debt_to_Income_Ratio]]&lt;0.5,"Moderate DTI", "High DTI"))</f>
        <v>Low DTI</v>
      </c>
      <c r="M42" t="s">
        <v>26</v>
      </c>
      <c r="N42" s="21">
        <v>12</v>
      </c>
      <c r="O42" t="s">
        <v>21</v>
      </c>
      <c r="P42" t="s">
        <v>22</v>
      </c>
      <c r="Q42" t="s">
        <v>23</v>
      </c>
      <c r="R42" t="s">
        <v>24</v>
      </c>
      <c r="S42" t="s">
        <v>23</v>
      </c>
      <c r="T42" t="s">
        <v>29</v>
      </c>
      <c r="U42" t="s">
        <v>23</v>
      </c>
      <c r="V42" t="s">
        <v>23</v>
      </c>
    </row>
    <row r="43" spans="1:22">
      <c r="A43" t="s">
        <v>79</v>
      </c>
      <c r="B43" s="21">
        <v>72</v>
      </c>
      <c r="C43" s="21">
        <v>81617</v>
      </c>
      <c r="D43" s="21">
        <v>359</v>
      </c>
      <c r="E43" t="str">
        <f>VLOOKUP(Table13[[#This Row],[Credit_Score]],Table4[],2,TRUE)</f>
        <v>High Risk</v>
      </c>
      <c r="F43">
        <v>0.37421422176226099</v>
      </c>
      <c r="G43" t="str">
        <f>IF(Table13[[#This Row],[Credit_Utilization]]&lt;0.3,"Low Utilization",
IF(Table13[[#This Row],[Credit_Utilization]]&lt;0.7,"Moderate Utilization",
"High Utilization"))</f>
        <v>Moderate Utilization</v>
      </c>
      <c r="H43" s="21">
        <v>5</v>
      </c>
      <c r="I43" s="21">
        <v>0</v>
      </c>
      <c r="J43" s="21">
        <v>11564</v>
      </c>
      <c r="K43">
        <v>0.383543408821586</v>
      </c>
      <c r="L43" t="str">
        <f>IF(Table13[[#This Row],[Debt_to_Income_Ratio]]&lt;0.3,"Low DTI", IF(Table13[[#This Row],[Debt_to_Income_Ratio]]&lt;0.5,"Moderate DTI", "High DTI"))</f>
        <v>Moderate DTI</v>
      </c>
      <c r="M43" t="s">
        <v>50</v>
      </c>
      <c r="N43" s="21">
        <v>3</v>
      </c>
      <c r="O43" t="s">
        <v>27</v>
      </c>
      <c r="P43" t="s">
        <v>22</v>
      </c>
      <c r="Q43" t="s">
        <v>23</v>
      </c>
      <c r="R43" t="s">
        <v>29</v>
      </c>
      <c r="S43" t="s">
        <v>23</v>
      </c>
      <c r="T43" t="s">
        <v>29</v>
      </c>
      <c r="U43" t="s">
        <v>24</v>
      </c>
      <c r="V43" t="s">
        <v>24</v>
      </c>
    </row>
    <row r="44" spans="1:22">
      <c r="A44" t="s">
        <v>80</v>
      </c>
      <c r="B44" s="21">
        <v>69</v>
      </c>
      <c r="C44" s="21">
        <v>107658</v>
      </c>
      <c r="D44" s="21">
        <v>792</v>
      </c>
      <c r="E44" t="str">
        <f>VLOOKUP(Table13[[#This Row],[Credit_Score]],Table4[],2,TRUE)</f>
        <v>Low Risk</v>
      </c>
      <c r="F44">
        <v>0.33500632461350199</v>
      </c>
      <c r="G44" t="str">
        <f>IF(Table13[[#This Row],[Credit_Utilization]]&lt;0.3,"Low Utilization",
IF(Table13[[#This Row],[Credit_Utilization]]&lt;0.7,"Moderate Utilization",
"High Utilization"))</f>
        <v>Moderate Utilization</v>
      </c>
      <c r="H44" s="21">
        <v>0</v>
      </c>
      <c r="I44" s="21">
        <v>1</v>
      </c>
      <c r="J44" s="21">
        <v>11155</v>
      </c>
      <c r="K44">
        <v>0.31354024824836102</v>
      </c>
      <c r="L44" t="str">
        <f>IF(Table13[[#This Row],[Debt_to_Income_Ratio]]&lt;0.3,"Low DTI", IF(Table13[[#This Row],[Debt_to_Income_Ratio]]&lt;0.5,"Moderate DTI", "High DTI"))</f>
        <v>Moderate DTI</v>
      </c>
      <c r="M44" t="s">
        <v>50</v>
      </c>
      <c r="N44" s="21">
        <v>9</v>
      </c>
      <c r="O44" t="s">
        <v>45</v>
      </c>
      <c r="P44" t="s">
        <v>38</v>
      </c>
      <c r="Q44" t="s">
        <v>29</v>
      </c>
      <c r="R44" t="s">
        <v>23</v>
      </c>
      <c r="S44" t="s">
        <v>23</v>
      </c>
      <c r="T44" t="s">
        <v>23</v>
      </c>
      <c r="U44" t="s">
        <v>24</v>
      </c>
      <c r="V44" t="s">
        <v>24</v>
      </c>
    </row>
    <row r="45" spans="1:22">
      <c r="A45" t="s">
        <v>81</v>
      </c>
      <c r="B45" s="21">
        <v>74</v>
      </c>
      <c r="C45" s="21">
        <v>66991</v>
      </c>
      <c r="D45" s="21">
        <v>601</v>
      </c>
      <c r="E45" t="str">
        <f>VLOOKUP(Table13[[#This Row],[Credit_Score]],Table4[],2,TRUE)</f>
        <v>Medium Risk</v>
      </c>
      <c r="F45">
        <v>0.53228797265753902</v>
      </c>
      <c r="G45" t="str">
        <f>IF(Table13[[#This Row],[Credit_Utilization]]&lt;0.3,"Low Utilization",
IF(Table13[[#This Row],[Credit_Utilization]]&lt;0.7,"Moderate Utilization",
"High Utilization"))</f>
        <v>Moderate Utilization</v>
      </c>
      <c r="H45" s="21">
        <v>5</v>
      </c>
      <c r="I45" s="21">
        <v>0</v>
      </c>
      <c r="J45" s="21">
        <v>31198</v>
      </c>
      <c r="K45">
        <v>0.133156124609737</v>
      </c>
      <c r="L45" t="str">
        <f>IF(Table13[[#This Row],[Debt_to_Income_Ratio]]&lt;0.3,"Low DTI", IF(Table13[[#This Row],[Debt_to_Income_Ratio]]&lt;0.5,"Moderate DTI", "High DTI"))</f>
        <v>Low DTI</v>
      </c>
      <c r="M45" t="s">
        <v>43</v>
      </c>
      <c r="N45" s="21">
        <v>12</v>
      </c>
      <c r="O45" t="s">
        <v>37</v>
      </c>
      <c r="P45" t="s">
        <v>32</v>
      </c>
      <c r="Q45" t="s">
        <v>29</v>
      </c>
      <c r="R45" t="s">
        <v>23</v>
      </c>
      <c r="S45" t="s">
        <v>29</v>
      </c>
      <c r="T45" t="s">
        <v>24</v>
      </c>
      <c r="U45" t="s">
        <v>24</v>
      </c>
      <c r="V45" t="s">
        <v>23</v>
      </c>
    </row>
    <row r="46" spans="1:22">
      <c r="A46" t="s">
        <v>82</v>
      </c>
      <c r="B46" s="21">
        <v>20</v>
      </c>
      <c r="C46" s="21">
        <v>106267</v>
      </c>
      <c r="D46" s="21">
        <v>751</v>
      </c>
      <c r="E46" t="str">
        <f>VLOOKUP(Table13[[#This Row],[Credit_Score]],Table4[],2,TRUE)</f>
        <v>Low Risk</v>
      </c>
      <c r="F46">
        <v>0.52209810773989296</v>
      </c>
      <c r="G46" t="str">
        <f>IF(Table13[[#This Row],[Credit_Utilization]]&lt;0.3,"Low Utilization",
IF(Table13[[#This Row],[Credit_Utilization]]&lt;0.7,"Moderate Utilization",
"High Utilization"))</f>
        <v>Moderate Utilization</v>
      </c>
      <c r="H46" s="21">
        <v>3</v>
      </c>
      <c r="I46" s="21">
        <v>0</v>
      </c>
      <c r="J46" s="21">
        <v>86447</v>
      </c>
      <c r="K46">
        <v>0.55295645054628195</v>
      </c>
      <c r="L46" t="str">
        <f>IF(Table13[[#This Row],[Debt_to_Income_Ratio]]&lt;0.3,"Low DTI", IF(Table13[[#This Row],[Debt_to_Income_Ratio]]&lt;0.5,"Moderate DTI", "High DTI"))</f>
        <v>High DTI</v>
      </c>
      <c r="M46" t="s">
        <v>34</v>
      </c>
      <c r="N46" s="21">
        <v>9</v>
      </c>
      <c r="O46" t="s">
        <v>21</v>
      </c>
      <c r="P46" t="s">
        <v>53</v>
      </c>
      <c r="Q46" t="s">
        <v>29</v>
      </c>
      <c r="R46" t="s">
        <v>24</v>
      </c>
      <c r="S46" t="s">
        <v>29</v>
      </c>
      <c r="T46" t="s">
        <v>23</v>
      </c>
      <c r="U46" t="s">
        <v>29</v>
      </c>
      <c r="V46" t="s">
        <v>23</v>
      </c>
    </row>
    <row r="47" spans="1:22">
      <c r="A47" t="s">
        <v>83</v>
      </c>
      <c r="B47" s="21">
        <v>54</v>
      </c>
      <c r="C47" s="21">
        <v>59238</v>
      </c>
      <c r="D47" s="21">
        <v>401</v>
      </c>
      <c r="E47" t="str">
        <f>VLOOKUP(Table13[[#This Row],[Credit_Score]],Table4[],2,TRUE)</f>
        <v>High Risk</v>
      </c>
      <c r="F47">
        <v>0.57559229198737405</v>
      </c>
      <c r="G47" t="str">
        <f>IF(Table13[[#This Row],[Credit_Utilization]]&lt;0.3,"Low Utilization",
IF(Table13[[#This Row],[Credit_Utilization]]&lt;0.7,"Moderate Utilization",
"High Utilization"))</f>
        <v>Moderate Utilization</v>
      </c>
      <c r="H47" s="21">
        <v>2</v>
      </c>
      <c r="I47" s="21">
        <v>1</v>
      </c>
      <c r="J47" s="21">
        <v>45776</v>
      </c>
      <c r="K47">
        <v>0.36244194122565498</v>
      </c>
      <c r="L47" t="str">
        <f>IF(Table13[[#This Row],[Debt_to_Income_Ratio]]&lt;0.3,"Low DTI", IF(Table13[[#This Row],[Debt_to_Income_Ratio]]&lt;0.5,"Moderate DTI", "High DTI"))</f>
        <v>Moderate DTI</v>
      </c>
      <c r="M47" t="s">
        <v>34</v>
      </c>
      <c r="N47" s="21">
        <v>8</v>
      </c>
      <c r="O47" t="s">
        <v>37</v>
      </c>
      <c r="P47" t="s">
        <v>22</v>
      </c>
      <c r="Q47" t="s">
        <v>29</v>
      </c>
      <c r="R47" t="s">
        <v>23</v>
      </c>
      <c r="S47" t="s">
        <v>24</v>
      </c>
      <c r="T47" t="s">
        <v>24</v>
      </c>
      <c r="U47" t="s">
        <v>23</v>
      </c>
      <c r="V47" t="s">
        <v>29</v>
      </c>
    </row>
    <row r="48" spans="1:22">
      <c r="A48" t="s">
        <v>84</v>
      </c>
      <c r="B48" s="21">
        <v>68</v>
      </c>
      <c r="C48" s="21">
        <v>153311</v>
      </c>
      <c r="D48" s="21">
        <v>326</v>
      </c>
      <c r="E48" t="str">
        <f>VLOOKUP(Table13[[#This Row],[Credit_Score]],Table4[],2,TRUE)</f>
        <v>High Risk</v>
      </c>
      <c r="F48">
        <v>0.36480274540511998</v>
      </c>
      <c r="G48" t="str">
        <f>IF(Table13[[#This Row],[Credit_Utilization]]&lt;0.3,"Low Utilization",
IF(Table13[[#This Row],[Credit_Utilization]]&lt;0.7,"Moderate Utilization",
"High Utilization"))</f>
        <v>Moderate Utilization</v>
      </c>
      <c r="H48" s="21">
        <v>2</v>
      </c>
      <c r="I48" s="21">
        <v>0</v>
      </c>
      <c r="J48" s="21">
        <v>5626</v>
      </c>
      <c r="K48">
        <v>0.36701000401251499</v>
      </c>
      <c r="L48" t="str">
        <f>IF(Table13[[#This Row],[Debt_to_Income_Ratio]]&lt;0.3,"Low DTI", IF(Table13[[#This Row],[Debt_to_Income_Ratio]]&lt;0.5,"Moderate DTI", "High DTI"))</f>
        <v>Moderate DTI</v>
      </c>
      <c r="M48" t="s">
        <v>43</v>
      </c>
      <c r="N48" s="21">
        <v>7</v>
      </c>
      <c r="O48" t="s">
        <v>45</v>
      </c>
      <c r="P48" t="s">
        <v>38</v>
      </c>
      <c r="Q48" t="s">
        <v>24</v>
      </c>
      <c r="R48" t="s">
        <v>24</v>
      </c>
      <c r="S48" t="s">
        <v>29</v>
      </c>
      <c r="T48" t="s">
        <v>23</v>
      </c>
      <c r="U48" t="s">
        <v>24</v>
      </c>
      <c r="V48" t="s">
        <v>23</v>
      </c>
    </row>
    <row r="49" spans="1:22">
      <c r="A49" t="s">
        <v>85</v>
      </c>
      <c r="B49" s="21">
        <v>24</v>
      </c>
      <c r="C49" s="21">
        <v>146800</v>
      </c>
      <c r="D49" s="21">
        <v>637</v>
      </c>
      <c r="E49" t="str">
        <f>VLOOKUP(Table13[[#This Row],[Credit_Score]],Table4[],2,TRUE)</f>
        <v>Medium Risk</v>
      </c>
      <c r="F49">
        <v>0.60455559009317805</v>
      </c>
      <c r="G49" t="str">
        <f>IF(Table13[[#This Row],[Credit_Utilization]]&lt;0.3,"Low Utilization",
IF(Table13[[#This Row],[Credit_Utilization]]&lt;0.7,"Moderate Utilization",
"High Utilization"))</f>
        <v>Moderate Utilization</v>
      </c>
      <c r="H49" s="21">
        <v>5</v>
      </c>
      <c r="I49" s="21">
        <v>0</v>
      </c>
      <c r="J49" s="21">
        <v>2687</v>
      </c>
      <c r="K49">
        <v>0.43658177525620401</v>
      </c>
      <c r="L49" t="str">
        <f>IF(Table13[[#This Row],[Debt_to_Income_Ratio]]&lt;0.3,"Low DTI", IF(Table13[[#This Row],[Debt_to_Income_Ratio]]&lt;0.5,"Moderate DTI", "High DTI"))</f>
        <v>Moderate DTI</v>
      </c>
      <c r="M49" t="s">
        <v>43</v>
      </c>
      <c r="N49" s="21">
        <v>2</v>
      </c>
      <c r="O49" t="s">
        <v>21</v>
      </c>
      <c r="P49" t="s">
        <v>32</v>
      </c>
      <c r="Q49" t="s">
        <v>29</v>
      </c>
      <c r="R49" t="s">
        <v>23</v>
      </c>
      <c r="S49" t="s">
        <v>29</v>
      </c>
      <c r="T49" t="s">
        <v>24</v>
      </c>
      <c r="U49" t="s">
        <v>29</v>
      </c>
      <c r="V49" t="s">
        <v>29</v>
      </c>
    </row>
    <row r="50" spans="1:22">
      <c r="A50" t="s">
        <v>86</v>
      </c>
      <c r="B50" s="21">
        <v>38</v>
      </c>
      <c r="C50" s="21">
        <v>97750</v>
      </c>
      <c r="D50" s="21">
        <v>691</v>
      </c>
      <c r="E50" t="str">
        <f>VLOOKUP(Table13[[#This Row],[Credit_Score]],Table4[],2,TRUE)</f>
        <v>Medium Risk</v>
      </c>
      <c r="F50">
        <v>0.188798653445263</v>
      </c>
      <c r="G50" t="str">
        <f>IF(Table13[[#This Row],[Credit_Utilization]]&lt;0.3,"Low Utilization",
IF(Table13[[#This Row],[Credit_Utilization]]&lt;0.7,"Moderate Utilization",
"High Utilization"))</f>
        <v>Low Utilization</v>
      </c>
      <c r="H50" s="21">
        <v>1</v>
      </c>
      <c r="I50" s="21">
        <v>0</v>
      </c>
      <c r="J50" s="21">
        <v>63375</v>
      </c>
      <c r="K50">
        <v>0.24191760471534901</v>
      </c>
      <c r="L50" t="str">
        <f>IF(Table13[[#This Row],[Debt_to_Income_Ratio]]&lt;0.3,"Low DTI", IF(Table13[[#This Row],[Debt_to_Income_Ratio]]&lt;0.5,"Moderate DTI", "High DTI"))</f>
        <v>Low DTI</v>
      </c>
      <c r="M50" t="s">
        <v>50</v>
      </c>
      <c r="N50" s="21">
        <v>15</v>
      </c>
      <c r="O50" t="s">
        <v>21</v>
      </c>
      <c r="P50" t="s">
        <v>32</v>
      </c>
      <c r="Q50" t="s">
        <v>23</v>
      </c>
      <c r="R50" t="s">
        <v>29</v>
      </c>
      <c r="S50" t="s">
        <v>29</v>
      </c>
      <c r="T50" t="s">
        <v>29</v>
      </c>
      <c r="U50" t="s">
        <v>24</v>
      </c>
      <c r="V50" t="s">
        <v>23</v>
      </c>
    </row>
    <row r="51" spans="1:22">
      <c r="A51" t="s">
        <v>87</v>
      </c>
      <c r="B51" s="21">
        <v>26</v>
      </c>
      <c r="C51" s="21">
        <v>118033</v>
      </c>
      <c r="D51" s="21">
        <v>469</v>
      </c>
      <c r="E51" t="str">
        <f>VLOOKUP(Table13[[#This Row],[Credit_Score]],Table4[],2,TRUE)</f>
        <v>High Risk</v>
      </c>
      <c r="F51">
        <v>0.13561905346952899</v>
      </c>
      <c r="G51" t="str">
        <f>IF(Table13[[#This Row],[Credit_Utilization]]&lt;0.3,"Low Utilization",
IF(Table13[[#This Row],[Credit_Utilization]]&lt;0.7,"Moderate Utilization",
"High Utilization"))</f>
        <v>Low Utilization</v>
      </c>
      <c r="H51" s="21">
        <v>4</v>
      </c>
      <c r="I51" s="21">
        <v>0</v>
      </c>
      <c r="J51" s="21">
        <v>92865</v>
      </c>
      <c r="K51">
        <v>0.31304541120886697</v>
      </c>
      <c r="L51" t="str">
        <f>IF(Table13[[#This Row],[Debt_to_Income_Ratio]]&lt;0.3,"Low DTI", IF(Table13[[#This Row],[Debt_to_Income_Ratio]]&lt;0.5,"Moderate DTI", "High DTI"))</f>
        <v>Moderate DTI</v>
      </c>
      <c r="M51" t="s">
        <v>43</v>
      </c>
      <c r="N51" s="21">
        <v>13</v>
      </c>
      <c r="O51" t="s">
        <v>37</v>
      </c>
      <c r="P51" t="s">
        <v>38</v>
      </c>
      <c r="Q51" t="s">
        <v>23</v>
      </c>
      <c r="R51" t="s">
        <v>24</v>
      </c>
      <c r="S51" t="s">
        <v>24</v>
      </c>
      <c r="T51" t="s">
        <v>23</v>
      </c>
      <c r="U51" t="s">
        <v>29</v>
      </c>
      <c r="V51" t="s">
        <v>24</v>
      </c>
    </row>
    <row r="52" spans="1:22">
      <c r="A52" t="s">
        <v>88</v>
      </c>
      <c r="B52" s="21">
        <v>56</v>
      </c>
      <c r="C52" s="21">
        <v>169865</v>
      </c>
      <c r="D52" s="21">
        <v>336</v>
      </c>
      <c r="E52" t="str">
        <f>VLOOKUP(Table13[[#This Row],[Credit_Score]],Table4[],2,TRUE)</f>
        <v>High Risk</v>
      </c>
      <c r="F52">
        <v>0.05</v>
      </c>
      <c r="G52" t="str">
        <f>IF(Table13[[#This Row],[Credit_Utilization]]&lt;0.3,"Low Utilization",
IF(Table13[[#This Row],[Credit_Utilization]]&lt;0.7,"Moderate Utilization",
"High Utilization"))</f>
        <v>Low Utilization</v>
      </c>
      <c r="H52" s="21">
        <v>6</v>
      </c>
      <c r="I52" s="21">
        <v>0</v>
      </c>
      <c r="J52" s="21">
        <v>92183</v>
      </c>
      <c r="K52">
        <v>0.168067808622023</v>
      </c>
      <c r="L52" t="str">
        <f>IF(Table13[[#This Row],[Debt_to_Income_Ratio]]&lt;0.3,"Low DTI", IF(Table13[[#This Row],[Debt_to_Income_Ratio]]&lt;0.5,"Moderate DTI", "High DTI"))</f>
        <v>Low DTI</v>
      </c>
      <c r="M52" t="s">
        <v>43</v>
      </c>
      <c r="N52" s="21">
        <v>8</v>
      </c>
      <c r="O52" t="s">
        <v>37</v>
      </c>
      <c r="P52" t="s">
        <v>38</v>
      </c>
      <c r="Q52" t="s">
        <v>24</v>
      </c>
      <c r="R52" t="s">
        <v>23</v>
      </c>
      <c r="S52" t="s">
        <v>29</v>
      </c>
      <c r="T52" t="s">
        <v>23</v>
      </c>
      <c r="U52" t="s">
        <v>23</v>
      </c>
      <c r="V52" t="s">
        <v>29</v>
      </c>
    </row>
    <row r="53" spans="1:22">
      <c r="A53" t="s">
        <v>89</v>
      </c>
      <c r="B53" s="21">
        <v>35</v>
      </c>
      <c r="C53" s="21">
        <v>109074</v>
      </c>
      <c r="D53" s="21">
        <v>383</v>
      </c>
      <c r="E53" t="str">
        <f>VLOOKUP(Table13[[#This Row],[Credit_Score]],Table4[],2,TRUE)</f>
        <v>High Risk</v>
      </c>
      <c r="F53">
        <v>0.40014055208560001</v>
      </c>
      <c r="G53" t="str">
        <f>IF(Table13[[#This Row],[Credit_Utilization]]&lt;0.3,"Low Utilization",
IF(Table13[[#This Row],[Credit_Utilization]]&lt;0.7,"Moderate Utilization",
"High Utilization"))</f>
        <v>Moderate Utilization</v>
      </c>
      <c r="H53" s="21">
        <v>4</v>
      </c>
      <c r="I53" s="21">
        <v>0</v>
      </c>
      <c r="J53" s="21">
        <v>45776</v>
      </c>
      <c r="K53">
        <v>0.23920515527148101</v>
      </c>
      <c r="L53" t="str">
        <f>IF(Table13[[#This Row],[Debt_to_Income_Ratio]]&lt;0.3,"Low DTI", IF(Table13[[#This Row],[Debt_to_Income_Ratio]]&lt;0.5,"Moderate DTI", "High DTI"))</f>
        <v>Low DTI</v>
      </c>
      <c r="M53" t="s">
        <v>43</v>
      </c>
      <c r="N53" s="21">
        <v>10</v>
      </c>
      <c r="O53" t="s">
        <v>27</v>
      </c>
      <c r="P53" t="s">
        <v>53</v>
      </c>
      <c r="Q53" t="s">
        <v>23</v>
      </c>
      <c r="R53" t="s">
        <v>24</v>
      </c>
      <c r="S53" t="s">
        <v>23</v>
      </c>
      <c r="T53" t="s">
        <v>23</v>
      </c>
      <c r="U53" t="s">
        <v>24</v>
      </c>
      <c r="V53" t="s">
        <v>29</v>
      </c>
    </row>
    <row r="54" spans="1:22">
      <c r="A54" t="s">
        <v>90</v>
      </c>
      <c r="B54" s="21">
        <v>21</v>
      </c>
      <c r="C54" s="21">
        <v>185806</v>
      </c>
      <c r="D54" s="21">
        <v>823</v>
      </c>
      <c r="E54" t="str">
        <f>VLOOKUP(Table13[[#This Row],[Credit_Score]],Table4[],2,TRUE)</f>
        <v>Low Risk</v>
      </c>
      <c r="F54">
        <v>0.34934035513228801</v>
      </c>
      <c r="G54" t="str">
        <f>IF(Table13[[#This Row],[Credit_Utilization]]&lt;0.3,"Low Utilization",
IF(Table13[[#This Row],[Credit_Utilization]]&lt;0.7,"Moderate Utilization",
"High Utilization"))</f>
        <v>Moderate Utilization</v>
      </c>
      <c r="H54" s="21">
        <v>4</v>
      </c>
      <c r="I54" s="21">
        <v>0</v>
      </c>
      <c r="J54" s="21">
        <v>45776</v>
      </c>
      <c r="K54">
        <v>0.338566000046923</v>
      </c>
      <c r="L54" t="str">
        <f>IF(Table13[[#This Row],[Debt_to_Income_Ratio]]&lt;0.3,"Low DTI", IF(Table13[[#This Row],[Debt_to_Income_Ratio]]&lt;0.5,"Moderate DTI", "High DTI"))</f>
        <v>Moderate DTI</v>
      </c>
      <c r="M54" t="s">
        <v>43</v>
      </c>
      <c r="N54" s="21">
        <v>2</v>
      </c>
      <c r="O54" t="s">
        <v>45</v>
      </c>
      <c r="P54" t="s">
        <v>38</v>
      </c>
      <c r="Q54" t="s">
        <v>24</v>
      </c>
      <c r="R54" t="s">
        <v>24</v>
      </c>
      <c r="S54" t="s">
        <v>23</v>
      </c>
      <c r="T54" t="s">
        <v>29</v>
      </c>
      <c r="U54" t="s">
        <v>29</v>
      </c>
      <c r="V54" t="s">
        <v>24</v>
      </c>
    </row>
    <row r="55" spans="1:22">
      <c r="A55" t="s">
        <v>91</v>
      </c>
      <c r="B55" s="21">
        <v>42</v>
      </c>
      <c r="C55" s="21">
        <v>194819</v>
      </c>
      <c r="D55" s="21">
        <v>339</v>
      </c>
      <c r="E55" t="str">
        <f>VLOOKUP(Table13[[#This Row],[Credit_Score]],Table4[],2,TRUE)</f>
        <v>High Risk</v>
      </c>
      <c r="F55">
        <v>0.65786312237092004</v>
      </c>
      <c r="G55" t="str">
        <f>IF(Table13[[#This Row],[Credit_Utilization]]&lt;0.3,"Low Utilization",
IF(Table13[[#This Row],[Credit_Utilization]]&lt;0.7,"Moderate Utilization",
"High Utilization"))</f>
        <v>Moderate Utilization</v>
      </c>
      <c r="H55" s="21">
        <v>3</v>
      </c>
      <c r="I55" s="21">
        <v>0</v>
      </c>
      <c r="J55" s="21">
        <v>29427</v>
      </c>
      <c r="K55">
        <v>0.13347153328675401</v>
      </c>
      <c r="L55" t="str">
        <f>IF(Table13[[#This Row],[Debt_to_Income_Ratio]]&lt;0.3,"Low DTI", IF(Table13[[#This Row],[Debt_to_Income_Ratio]]&lt;0.5,"Moderate DTI", "High DTI"))</f>
        <v>Low DTI</v>
      </c>
      <c r="M55" t="s">
        <v>43</v>
      </c>
      <c r="N55" s="21">
        <v>4</v>
      </c>
      <c r="O55" t="s">
        <v>27</v>
      </c>
      <c r="P55" t="s">
        <v>53</v>
      </c>
      <c r="Q55" t="s">
        <v>23</v>
      </c>
      <c r="R55" t="s">
        <v>24</v>
      </c>
      <c r="S55" t="s">
        <v>29</v>
      </c>
      <c r="T55" t="s">
        <v>29</v>
      </c>
      <c r="U55" t="s">
        <v>29</v>
      </c>
      <c r="V55" t="s">
        <v>24</v>
      </c>
    </row>
    <row r="56" spans="1:22">
      <c r="A56" t="s">
        <v>92</v>
      </c>
      <c r="B56" s="21">
        <v>31</v>
      </c>
      <c r="C56" s="21">
        <v>90353</v>
      </c>
      <c r="D56" s="21">
        <v>711</v>
      </c>
      <c r="E56" t="str">
        <f>VLOOKUP(Table13[[#This Row],[Credit_Score]],Table4[],2,TRUE)</f>
        <v>Medium Risk</v>
      </c>
      <c r="F56">
        <v>0.37026748259022602</v>
      </c>
      <c r="G56" t="str">
        <f>IF(Table13[[#This Row],[Credit_Utilization]]&lt;0.3,"Low Utilization",
IF(Table13[[#This Row],[Credit_Utilization]]&lt;0.7,"Moderate Utilization",
"High Utilization"))</f>
        <v>Moderate Utilization</v>
      </c>
      <c r="H56" s="21">
        <v>4</v>
      </c>
      <c r="I56" s="21">
        <v>0</v>
      </c>
      <c r="J56" s="21">
        <v>69342</v>
      </c>
      <c r="K56">
        <v>0.23637104543219101</v>
      </c>
      <c r="L56" t="str">
        <f>IF(Table13[[#This Row],[Debt_to_Income_Ratio]]&lt;0.3,"Low DTI", IF(Table13[[#This Row],[Debt_to_Income_Ratio]]&lt;0.5,"Moderate DTI", "High DTI"))</f>
        <v>Low DTI</v>
      </c>
      <c r="M56" t="s">
        <v>50</v>
      </c>
      <c r="N56" s="21">
        <v>9</v>
      </c>
      <c r="O56" t="s">
        <v>21</v>
      </c>
      <c r="P56" t="s">
        <v>53</v>
      </c>
      <c r="Q56" t="s">
        <v>23</v>
      </c>
      <c r="R56" t="s">
        <v>29</v>
      </c>
      <c r="S56" t="s">
        <v>29</v>
      </c>
      <c r="T56" t="s">
        <v>29</v>
      </c>
      <c r="U56" t="s">
        <v>23</v>
      </c>
      <c r="V56" t="s">
        <v>23</v>
      </c>
    </row>
    <row r="57" spans="1:22">
      <c r="A57" t="s">
        <v>93</v>
      </c>
      <c r="B57" s="21">
        <v>67</v>
      </c>
      <c r="C57" s="21">
        <v>198401</v>
      </c>
      <c r="D57" s="21">
        <v>715</v>
      </c>
      <c r="E57" t="str">
        <f>VLOOKUP(Table13[[#This Row],[Credit_Score]],Table4[],2,TRUE)</f>
        <v>Medium Risk</v>
      </c>
      <c r="F57">
        <v>0.55467526958885305</v>
      </c>
      <c r="G57" t="str">
        <f>IF(Table13[[#This Row],[Credit_Utilization]]&lt;0.3,"Low Utilization",
IF(Table13[[#This Row],[Credit_Utilization]]&lt;0.7,"Moderate Utilization",
"High Utilization"))</f>
        <v>Moderate Utilization</v>
      </c>
      <c r="H57" s="21">
        <v>2</v>
      </c>
      <c r="I57" s="21">
        <v>0</v>
      </c>
      <c r="J57" s="21">
        <v>17401</v>
      </c>
      <c r="K57">
        <v>0.20720660400622701</v>
      </c>
      <c r="L57" t="str">
        <f>IF(Table13[[#This Row],[Debt_to_Income_Ratio]]&lt;0.3,"Low DTI", IF(Table13[[#This Row],[Debt_to_Income_Ratio]]&lt;0.5,"Moderate DTI", "High DTI"))</f>
        <v>Low DTI</v>
      </c>
      <c r="M57" t="s">
        <v>50</v>
      </c>
      <c r="N57" s="21">
        <v>12</v>
      </c>
      <c r="O57" t="s">
        <v>37</v>
      </c>
      <c r="P57" t="s">
        <v>28</v>
      </c>
      <c r="Q57" t="s">
        <v>29</v>
      </c>
      <c r="R57" t="s">
        <v>23</v>
      </c>
      <c r="S57" t="s">
        <v>23</v>
      </c>
      <c r="T57" t="s">
        <v>29</v>
      </c>
      <c r="U57" t="s">
        <v>23</v>
      </c>
      <c r="V57" t="s">
        <v>23</v>
      </c>
    </row>
    <row r="58" spans="1:22">
      <c r="A58" t="s">
        <v>94</v>
      </c>
      <c r="B58" s="21">
        <v>26</v>
      </c>
      <c r="C58" s="21">
        <v>76629</v>
      </c>
      <c r="D58" s="21">
        <v>673</v>
      </c>
      <c r="E58" t="str">
        <f>VLOOKUP(Table13[[#This Row],[Credit_Score]],Table4[],2,TRUE)</f>
        <v>Medium Risk</v>
      </c>
      <c r="F58">
        <v>0.66265931531661504</v>
      </c>
      <c r="G58" t="str">
        <f>IF(Table13[[#This Row],[Credit_Utilization]]&lt;0.3,"Low Utilization",
IF(Table13[[#This Row],[Credit_Utilization]]&lt;0.7,"Moderate Utilization",
"High Utilization"))</f>
        <v>Moderate Utilization</v>
      </c>
      <c r="H58" s="21">
        <v>3</v>
      </c>
      <c r="I58" s="21">
        <v>0</v>
      </c>
      <c r="J58" s="21">
        <v>35372</v>
      </c>
      <c r="K58">
        <v>0.31420922456203398</v>
      </c>
      <c r="L58" t="str">
        <f>IF(Table13[[#This Row],[Debt_to_Income_Ratio]]&lt;0.3,"Low DTI", IF(Table13[[#This Row],[Debt_to_Income_Ratio]]&lt;0.5,"Moderate DTI", "High DTI"))</f>
        <v>Moderate DTI</v>
      </c>
      <c r="M58" t="s">
        <v>43</v>
      </c>
      <c r="N58" s="21">
        <v>3</v>
      </c>
      <c r="O58" t="s">
        <v>21</v>
      </c>
      <c r="P58" t="s">
        <v>32</v>
      </c>
      <c r="Q58" t="s">
        <v>29</v>
      </c>
      <c r="R58" t="s">
        <v>23</v>
      </c>
      <c r="S58" t="s">
        <v>23</v>
      </c>
      <c r="T58" t="s">
        <v>23</v>
      </c>
      <c r="U58" t="s">
        <v>24</v>
      </c>
      <c r="V58" t="s">
        <v>29</v>
      </c>
    </row>
    <row r="59" spans="1:22">
      <c r="A59" t="s">
        <v>95</v>
      </c>
      <c r="B59" s="21">
        <v>43</v>
      </c>
      <c r="C59" s="21">
        <v>107193</v>
      </c>
      <c r="D59" s="21">
        <v>843</v>
      </c>
      <c r="E59" t="str">
        <f>VLOOKUP(Table13[[#This Row],[Credit_Score]],Table4[],2,TRUE)</f>
        <v>Low Risk</v>
      </c>
      <c r="F59">
        <v>0.362736184870176</v>
      </c>
      <c r="G59" t="str">
        <f>IF(Table13[[#This Row],[Credit_Utilization]]&lt;0.3,"Low Utilization",
IF(Table13[[#This Row],[Credit_Utilization]]&lt;0.7,"Moderate Utilization",
"High Utilization"))</f>
        <v>Moderate Utilization</v>
      </c>
      <c r="H59" s="21">
        <v>0</v>
      </c>
      <c r="I59" s="21">
        <v>0</v>
      </c>
      <c r="J59" s="21">
        <v>70793</v>
      </c>
      <c r="K59">
        <v>0.35747012616653401</v>
      </c>
      <c r="L59" t="str">
        <f>IF(Table13[[#This Row],[Debt_to_Income_Ratio]]&lt;0.3,"Low DTI", IF(Table13[[#This Row],[Debt_to_Income_Ratio]]&lt;0.5,"Moderate DTI", "High DTI"))</f>
        <v>Moderate DTI</v>
      </c>
      <c r="M59" t="s">
        <v>43</v>
      </c>
      <c r="N59" s="21">
        <v>12</v>
      </c>
      <c r="O59" t="s">
        <v>21</v>
      </c>
      <c r="P59" t="s">
        <v>32</v>
      </c>
      <c r="Q59" t="s">
        <v>24</v>
      </c>
      <c r="R59" t="s">
        <v>24</v>
      </c>
      <c r="S59" t="s">
        <v>24</v>
      </c>
      <c r="T59" t="s">
        <v>24</v>
      </c>
      <c r="U59" t="s">
        <v>23</v>
      </c>
      <c r="V59" t="s">
        <v>29</v>
      </c>
    </row>
    <row r="60" spans="1:22">
      <c r="A60" t="s">
        <v>96</v>
      </c>
      <c r="B60" s="21">
        <v>70</v>
      </c>
      <c r="C60" s="21">
        <v>81040</v>
      </c>
      <c r="D60" s="21">
        <v>401</v>
      </c>
      <c r="E60" t="str">
        <f>VLOOKUP(Table13[[#This Row],[Credit_Score]],Table4[],2,TRUE)</f>
        <v>High Risk</v>
      </c>
      <c r="F60">
        <v>0.55961044202143495</v>
      </c>
      <c r="G60" t="str">
        <f>IF(Table13[[#This Row],[Credit_Utilization]]&lt;0.3,"Low Utilization",
IF(Table13[[#This Row],[Credit_Utilization]]&lt;0.7,"Moderate Utilization",
"High Utilization"))</f>
        <v>Moderate Utilization</v>
      </c>
      <c r="H60" s="21">
        <v>4</v>
      </c>
      <c r="I60" s="21">
        <v>0</v>
      </c>
      <c r="J60" s="21">
        <v>63443</v>
      </c>
      <c r="K60">
        <v>0.37421528043764501</v>
      </c>
      <c r="L60" t="str">
        <f>IF(Table13[[#This Row],[Debt_to_Income_Ratio]]&lt;0.3,"Low DTI", IF(Table13[[#This Row],[Debt_to_Income_Ratio]]&lt;0.5,"Moderate DTI", "High DTI"))</f>
        <v>Moderate DTI</v>
      </c>
      <c r="M60" t="s">
        <v>50</v>
      </c>
      <c r="N60" s="21">
        <v>11</v>
      </c>
      <c r="O60" t="s">
        <v>31</v>
      </c>
      <c r="P60" t="s">
        <v>32</v>
      </c>
      <c r="Q60" t="s">
        <v>23</v>
      </c>
      <c r="R60" t="s">
        <v>24</v>
      </c>
      <c r="S60" t="s">
        <v>24</v>
      </c>
      <c r="T60" t="s">
        <v>24</v>
      </c>
      <c r="U60" t="s">
        <v>23</v>
      </c>
      <c r="V60" t="s">
        <v>24</v>
      </c>
    </row>
    <row r="61" spans="1:22">
      <c r="A61" t="s">
        <v>97</v>
      </c>
      <c r="B61" s="21">
        <v>19</v>
      </c>
      <c r="C61" s="21">
        <v>107658</v>
      </c>
      <c r="D61" s="21">
        <v>538</v>
      </c>
      <c r="E61" t="str">
        <f>VLOOKUP(Table13[[#This Row],[Credit_Score]],Table4[],2,TRUE)</f>
        <v>High Risk</v>
      </c>
      <c r="F61">
        <v>0.70038550979103897</v>
      </c>
      <c r="G61" t="str">
        <f>IF(Table13[[#This Row],[Credit_Utilization]]&lt;0.3,"Low Utilization",
IF(Table13[[#This Row],[Credit_Utilization]]&lt;0.7,"Moderate Utilization",
"High Utilization"))</f>
        <v>High Utilization</v>
      </c>
      <c r="H61" s="21">
        <v>4</v>
      </c>
      <c r="I61" s="21">
        <v>0</v>
      </c>
      <c r="J61" s="21">
        <v>37445</v>
      </c>
      <c r="K61">
        <v>0.39988166447781498</v>
      </c>
      <c r="L61" t="str">
        <f>IF(Table13[[#This Row],[Debt_to_Income_Ratio]]&lt;0.3,"Low DTI", IF(Table13[[#This Row],[Debt_to_Income_Ratio]]&lt;0.5,"Moderate DTI", "High DTI"))</f>
        <v>Moderate DTI</v>
      </c>
      <c r="M61" t="s">
        <v>43</v>
      </c>
      <c r="N61" s="21">
        <v>4</v>
      </c>
      <c r="O61" t="s">
        <v>31</v>
      </c>
      <c r="P61" t="s">
        <v>28</v>
      </c>
      <c r="Q61" t="s">
        <v>29</v>
      </c>
      <c r="R61" t="s">
        <v>23</v>
      </c>
      <c r="S61" t="s">
        <v>24</v>
      </c>
      <c r="T61" t="s">
        <v>23</v>
      </c>
      <c r="U61" t="s">
        <v>24</v>
      </c>
      <c r="V61" t="s">
        <v>29</v>
      </c>
    </row>
    <row r="62" spans="1:22">
      <c r="A62" t="s">
        <v>98</v>
      </c>
      <c r="B62" s="21">
        <v>37</v>
      </c>
      <c r="C62" s="21">
        <v>140899</v>
      </c>
      <c r="D62" s="21">
        <v>826</v>
      </c>
      <c r="E62" t="str">
        <f>VLOOKUP(Table13[[#This Row],[Credit_Score]],Table4[],2,TRUE)</f>
        <v>Low Risk</v>
      </c>
      <c r="F62">
        <v>0.25236744503888597</v>
      </c>
      <c r="G62" t="str">
        <f>IF(Table13[[#This Row],[Credit_Utilization]]&lt;0.3,"Low Utilization",
IF(Table13[[#This Row],[Credit_Utilization]]&lt;0.7,"Moderate Utilization",
"High Utilization"))</f>
        <v>Low Utilization</v>
      </c>
      <c r="H62" s="21">
        <v>0</v>
      </c>
      <c r="I62" s="21">
        <v>1</v>
      </c>
      <c r="J62" s="21">
        <v>64950</v>
      </c>
      <c r="K62">
        <v>0.43721168465723698</v>
      </c>
      <c r="L62" t="str">
        <f>IF(Table13[[#This Row],[Debt_to_Income_Ratio]]&lt;0.3,"Low DTI", IF(Table13[[#This Row],[Debt_to_Income_Ratio]]&lt;0.5,"Moderate DTI", "High DTI"))</f>
        <v>Moderate DTI</v>
      </c>
      <c r="M62" t="s">
        <v>34</v>
      </c>
      <c r="N62" s="21">
        <v>9</v>
      </c>
      <c r="O62" t="s">
        <v>21</v>
      </c>
      <c r="P62" t="s">
        <v>53</v>
      </c>
      <c r="Q62" t="s">
        <v>29</v>
      </c>
      <c r="R62" t="s">
        <v>24</v>
      </c>
      <c r="S62" t="s">
        <v>23</v>
      </c>
      <c r="T62" t="s">
        <v>24</v>
      </c>
      <c r="U62" t="s">
        <v>24</v>
      </c>
      <c r="V62" t="s">
        <v>29</v>
      </c>
    </row>
    <row r="63" spans="1:22">
      <c r="A63" t="s">
        <v>99</v>
      </c>
      <c r="B63" s="21">
        <v>45</v>
      </c>
      <c r="C63" s="21">
        <v>184160</v>
      </c>
      <c r="D63" s="21">
        <v>475</v>
      </c>
      <c r="E63" t="str">
        <f>VLOOKUP(Table13[[#This Row],[Credit_Score]],Table4[],2,TRUE)</f>
        <v>High Risk</v>
      </c>
      <c r="F63">
        <v>0.50497046764892795</v>
      </c>
      <c r="G63" t="str">
        <f>IF(Table13[[#This Row],[Credit_Utilization]]&lt;0.3,"Low Utilization",
IF(Table13[[#This Row],[Credit_Utilization]]&lt;0.7,"Moderate Utilization",
"High Utilization"))</f>
        <v>Moderate Utilization</v>
      </c>
      <c r="H63" s="21">
        <v>4</v>
      </c>
      <c r="I63" s="21">
        <v>0</v>
      </c>
      <c r="J63" s="21">
        <v>49893</v>
      </c>
      <c r="K63">
        <v>0.36072454536833998</v>
      </c>
      <c r="L63" t="str">
        <f>IF(Table13[[#This Row],[Debt_to_Income_Ratio]]&lt;0.3,"Low DTI", IF(Table13[[#This Row],[Debt_to_Income_Ratio]]&lt;0.5,"Moderate DTI", "High DTI"))</f>
        <v>Moderate DTI</v>
      </c>
      <c r="M63" t="s">
        <v>43</v>
      </c>
      <c r="N63" s="21">
        <v>8</v>
      </c>
      <c r="O63" t="s">
        <v>37</v>
      </c>
      <c r="P63" t="s">
        <v>53</v>
      </c>
      <c r="Q63" t="s">
        <v>23</v>
      </c>
      <c r="R63" t="s">
        <v>24</v>
      </c>
      <c r="S63" t="s">
        <v>29</v>
      </c>
      <c r="T63" t="s">
        <v>29</v>
      </c>
      <c r="U63" t="s">
        <v>24</v>
      </c>
      <c r="V63" t="s">
        <v>24</v>
      </c>
    </row>
    <row r="64" spans="1:22">
      <c r="A64" t="s">
        <v>100</v>
      </c>
      <c r="B64" s="21">
        <v>64</v>
      </c>
      <c r="C64" s="21">
        <v>155507</v>
      </c>
      <c r="D64" s="21">
        <v>801</v>
      </c>
      <c r="E64" t="str">
        <f>VLOOKUP(Table13[[#This Row],[Credit_Score]],Table4[],2,TRUE)</f>
        <v>Low Risk</v>
      </c>
      <c r="F64">
        <v>0.36359312336013699</v>
      </c>
      <c r="G64" t="str">
        <f>IF(Table13[[#This Row],[Credit_Utilization]]&lt;0.3,"Low Utilization",
IF(Table13[[#This Row],[Credit_Utilization]]&lt;0.7,"Moderate Utilization",
"High Utilization"))</f>
        <v>Moderate Utilization</v>
      </c>
      <c r="H64" s="21">
        <v>0</v>
      </c>
      <c r="I64" s="21">
        <v>0</v>
      </c>
      <c r="J64" s="21">
        <v>81202</v>
      </c>
      <c r="K64">
        <v>0.48873358988944099</v>
      </c>
      <c r="L64" t="str">
        <f>IF(Table13[[#This Row],[Debt_to_Income_Ratio]]&lt;0.3,"Low DTI", IF(Table13[[#This Row],[Debt_to_Income_Ratio]]&lt;0.5,"Moderate DTI", "High DTI"))</f>
        <v>Moderate DTI</v>
      </c>
      <c r="M64" t="s">
        <v>50</v>
      </c>
      <c r="N64" s="21">
        <v>19</v>
      </c>
      <c r="O64" t="s">
        <v>21</v>
      </c>
      <c r="P64" t="s">
        <v>38</v>
      </c>
      <c r="Q64" t="s">
        <v>24</v>
      </c>
      <c r="R64" t="s">
        <v>23</v>
      </c>
      <c r="S64" t="s">
        <v>23</v>
      </c>
      <c r="T64" t="s">
        <v>29</v>
      </c>
      <c r="U64" t="s">
        <v>23</v>
      </c>
      <c r="V64" t="s">
        <v>29</v>
      </c>
    </row>
    <row r="65" spans="1:22">
      <c r="A65" t="s">
        <v>101</v>
      </c>
      <c r="B65" s="21">
        <v>24</v>
      </c>
      <c r="C65" s="21">
        <v>109074</v>
      </c>
      <c r="D65" s="21">
        <v>739</v>
      </c>
      <c r="E65" t="str">
        <f>VLOOKUP(Table13[[#This Row],[Credit_Score]],Table4[],2,TRUE)</f>
        <v>Medium Risk</v>
      </c>
      <c r="F65">
        <v>0.26510202350137202</v>
      </c>
      <c r="G65" t="str">
        <f>IF(Table13[[#This Row],[Credit_Utilization]]&lt;0.3,"Low Utilization",
IF(Table13[[#This Row],[Credit_Utilization]]&lt;0.7,"Moderate Utilization",
"High Utilization"))</f>
        <v>Low Utilization</v>
      </c>
      <c r="H65" s="21">
        <v>3</v>
      </c>
      <c r="I65" s="21">
        <v>0</v>
      </c>
      <c r="J65" s="21">
        <v>54247</v>
      </c>
      <c r="K65">
        <v>0.31195025212646799</v>
      </c>
      <c r="L65" t="str">
        <f>IF(Table13[[#This Row],[Debt_to_Income_Ratio]]&lt;0.3,"Low DTI", IF(Table13[[#This Row],[Debt_to_Income_Ratio]]&lt;0.5,"Moderate DTI", "High DTI"))</f>
        <v>Moderate DTI</v>
      </c>
      <c r="M65" t="s">
        <v>26</v>
      </c>
      <c r="N65" s="21">
        <v>6</v>
      </c>
      <c r="O65" t="s">
        <v>31</v>
      </c>
      <c r="P65" t="s">
        <v>28</v>
      </c>
      <c r="Q65" t="s">
        <v>24</v>
      </c>
      <c r="R65" t="s">
        <v>24</v>
      </c>
      <c r="S65" t="s">
        <v>24</v>
      </c>
      <c r="T65" t="s">
        <v>24</v>
      </c>
      <c r="U65" t="s">
        <v>29</v>
      </c>
      <c r="V65" t="s">
        <v>24</v>
      </c>
    </row>
    <row r="66" spans="1:22">
      <c r="A66" t="s">
        <v>102</v>
      </c>
      <c r="B66" s="21">
        <v>61</v>
      </c>
      <c r="C66" s="21">
        <v>43251</v>
      </c>
      <c r="D66" s="21">
        <v>773</v>
      </c>
      <c r="E66" t="str">
        <f>VLOOKUP(Table13[[#This Row],[Credit_Score]],Table4[],2,TRUE)</f>
        <v>Low Risk</v>
      </c>
      <c r="F66">
        <v>0.19270965190195399</v>
      </c>
      <c r="G66" t="str">
        <f>IF(Table13[[#This Row],[Credit_Utilization]]&lt;0.3,"Low Utilization",
IF(Table13[[#This Row],[Credit_Utilization]]&lt;0.7,"Moderate Utilization",
"High Utilization"))</f>
        <v>Low Utilization</v>
      </c>
      <c r="H66" s="21">
        <v>2</v>
      </c>
      <c r="I66" s="21">
        <v>0</v>
      </c>
      <c r="J66" s="21">
        <v>86488</v>
      </c>
      <c r="K66">
        <v>0.28266788457494502</v>
      </c>
      <c r="L66" t="str">
        <f>IF(Table13[[#This Row],[Debt_to_Income_Ratio]]&lt;0.3,"Low DTI", IF(Table13[[#This Row],[Debt_to_Income_Ratio]]&lt;0.5,"Moderate DTI", "High DTI"))</f>
        <v>Low DTI</v>
      </c>
      <c r="M66" t="s">
        <v>34</v>
      </c>
      <c r="N66" s="21">
        <v>1</v>
      </c>
      <c r="O66" t="s">
        <v>37</v>
      </c>
      <c r="P66" t="s">
        <v>38</v>
      </c>
      <c r="Q66" t="s">
        <v>29</v>
      </c>
      <c r="R66" t="s">
        <v>24</v>
      </c>
      <c r="S66" t="s">
        <v>23</v>
      </c>
      <c r="T66" t="s">
        <v>29</v>
      </c>
      <c r="U66" t="s">
        <v>29</v>
      </c>
      <c r="V66" t="s">
        <v>23</v>
      </c>
    </row>
    <row r="67" spans="1:22">
      <c r="A67" t="s">
        <v>103</v>
      </c>
      <c r="B67" s="21">
        <v>25</v>
      </c>
      <c r="C67" s="21">
        <v>117634</v>
      </c>
      <c r="D67" s="21">
        <v>815</v>
      </c>
      <c r="E67" t="str">
        <f>VLOOKUP(Table13[[#This Row],[Credit_Score]],Table4[],2,TRUE)</f>
        <v>Low Risk</v>
      </c>
      <c r="F67">
        <v>0.26187028556425901</v>
      </c>
      <c r="G67" t="str">
        <f>IF(Table13[[#This Row],[Credit_Utilization]]&lt;0.3,"Low Utilization",
IF(Table13[[#This Row],[Credit_Utilization]]&lt;0.7,"Moderate Utilization",
"High Utilization"))</f>
        <v>Low Utilization</v>
      </c>
      <c r="H67" s="21">
        <v>0</v>
      </c>
      <c r="I67" s="21">
        <v>0</v>
      </c>
      <c r="J67" s="21">
        <v>95267</v>
      </c>
      <c r="K67">
        <v>0.360730736336004</v>
      </c>
      <c r="L67" t="str">
        <f>IF(Table13[[#This Row],[Debt_to_Income_Ratio]]&lt;0.3,"Low DTI", IF(Table13[[#This Row],[Debt_to_Income_Ratio]]&lt;0.5,"Moderate DTI", "High DTI"))</f>
        <v>Moderate DTI</v>
      </c>
      <c r="M67" t="s">
        <v>43</v>
      </c>
      <c r="N67" s="21">
        <v>6</v>
      </c>
      <c r="O67" t="s">
        <v>21</v>
      </c>
      <c r="P67" t="s">
        <v>28</v>
      </c>
      <c r="Q67" t="s">
        <v>24</v>
      </c>
      <c r="R67" t="s">
        <v>29</v>
      </c>
      <c r="S67" t="s">
        <v>24</v>
      </c>
      <c r="T67" t="s">
        <v>24</v>
      </c>
      <c r="U67" t="s">
        <v>23</v>
      </c>
      <c r="V67" t="s">
        <v>24</v>
      </c>
    </row>
    <row r="68" spans="1:22">
      <c r="A68" t="s">
        <v>104</v>
      </c>
      <c r="B68" s="21">
        <v>64</v>
      </c>
      <c r="C68" s="21">
        <v>107658</v>
      </c>
      <c r="D68" s="21">
        <v>612</v>
      </c>
      <c r="E68" t="str">
        <f>VLOOKUP(Table13[[#This Row],[Credit_Score]],Table4[],2,TRUE)</f>
        <v>Medium Risk</v>
      </c>
      <c r="F68">
        <v>0.51200580115040195</v>
      </c>
      <c r="G68" t="str">
        <f>IF(Table13[[#This Row],[Credit_Utilization]]&lt;0.3,"Low Utilization",
IF(Table13[[#This Row],[Credit_Utilization]]&lt;0.7,"Moderate Utilization",
"High Utilization"))</f>
        <v>Moderate Utilization</v>
      </c>
      <c r="H68" s="21">
        <v>1</v>
      </c>
      <c r="I68" s="21">
        <v>0</v>
      </c>
      <c r="J68" s="21">
        <v>99005</v>
      </c>
      <c r="K68">
        <v>0.27835888250074098</v>
      </c>
      <c r="L68" t="str">
        <f>IF(Table13[[#This Row],[Debt_to_Income_Ratio]]&lt;0.3,"Low DTI", IF(Table13[[#This Row],[Debt_to_Income_Ratio]]&lt;0.5,"Moderate DTI", "High DTI"))</f>
        <v>Low DTI</v>
      </c>
      <c r="M68" t="s">
        <v>50</v>
      </c>
      <c r="N68" s="21">
        <v>7</v>
      </c>
      <c r="O68" t="s">
        <v>45</v>
      </c>
      <c r="P68" t="s">
        <v>38</v>
      </c>
      <c r="Q68" t="s">
        <v>29</v>
      </c>
      <c r="R68" t="s">
        <v>23</v>
      </c>
      <c r="S68" t="s">
        <v>29</v>
      </c>
      <c r="T68" t="s">
        <v>24</v>
      </c>
      <c r="U68" t="s">
        <v>29</v>
      </c>
      <c r="V68" t="s">
        <v>29</v>
      </c>
    </row>
    <row r="69" spans="1:22">
      <c r="A69" t="s">
        <v>105</v>
      </c>
      <c r="B69" s="21">
        <v>52</v>
      </c>
      <c r="C69" s="21">
        <v>172164</v>
      </c>
      <c r="D69" s="21">
        <v>600</v>
      </c>
      <c r="E69" t="str">
        <f>VLOOKUP(Table13[[#This Row],[Credit_Score]],Table4[],2,TRUE)</f>
        <v>Medium Risk</v>
      </c>
      <c r="F69">
        <v>0.17783110888765</v>
      </c>
      <c r="G69" t="str">
        <f>IF(Table13[[#This Row],[Credit_Utilization]]&lt;0.3,"Low Utilization",
IF(Table13[[#This Row],[Credit_Utilization]]&lt;0.7,"Moderate Utilization",
"High Utilization"))</f>
        <v>Low Utilization</v>
      </c>
      <c r="H69" s="21">
        <v>0</v>
      </c>
      <c r="I69" s="21">
        <v>0</v>
      </c>
      <c r="J69" s="21">
        <v>7468</v>
      </c>
      <c r="K69">
        <v>0.48525647287750401</v>
      </c>
      <c r="L69" t="str">
        <f>IF(Table13[[#This Row],[Debt_to_Income_Ratio]]&lt;0.3,"Low DTI", IF(Table13[[#This Row],[Debt_to_Income_Ratio]]&lt;0.5,"Moderate DTI", "High DTI"))</f>
        <v>Moderate DTI</v>
      </c>
      <c r="M69" t="s">
        <v>43</v>
      </c>
      <c r="N69" s="21">
        <v>6</v>
      </c>
      <c r="O69" t="s">
        <v>45</v>
      </c>
      <c r="P69" t="s">
        <v>22</v>
      </c>
      <c r="Q69" t="s">
        <v>24</v>
      </c>
      <c r="R69" t="s">
        <v>24</v>
      </c>
      <c r="S69" t="s">
        <v>29</v>
      </c>
      <c r="T69" t="s">
        <v>23</v>
      </c>
      <c r="U69" t="s">
        <v>23</v>
      </c>
      <c r="V69" t="s">
        <v>24</v>
      </c>
    </row>
    <row r="70" spans="1:22">
      <c r="A70" t="s">
        <v>106</v>
      </c>
      <c r="B70" s="21">
        <v>31</v>
      </c>
      <c r="C70" s="21">
        <v>107658</v>
      </c>
      <c r="D70" s="21">
        <v>796</v>
      </c>
      <c r="E70" t="str">
        <f>VLOOKUP(Table13[[#This Row],[Credit_Score]],Table4[],2,TRUE)</f>
        <v>Low Risk</v>
      </c>
      <c r="F70">
        <v>0.389854595182272</v>
      </c>
      <c r="G70" t="str">
        <f>IF(Table13[[#This Row],[Credit_Utilization]]&lt;0.3,"Low Utilization",
IF(Table13[[#This Row],[Credit_Utilization]]&lt;0.7,"Moderate Utilization",
"High Utilization"))</f>
        <v>Moderate Utilization</v>
      </c>
      <c r="H70" s="21">
        <v>4</v>
      </c>
      <c r="I70" s="21">
        <v>0</v>
      </c>
      <c r="J70" s="21">
        <v>85026</v>
      </c>
      <c r="K70">
        <v>0.41309834731352102</v>
      </c>
      <c r="L70" t="str">
        <f>IF(Table13[[#This Row],[Debt_to_Income_Ratio]]&lt;0.3,"Low DTI", IF(Table13[[#This Row],[Debt_to_Income_Ratio]]&lt;0.5,"Moderate DTI", "High DTI"))</f>
        <v>Moderate DTI</v>
      </c>
      <c r="M70" t="s">
        <v>43</v>
      </c>
      <c r="N70" s="21">
        <v>13</v>
      </c>
      <c r="O70" t="s">
        <v>21</v>
      </c>
      <c r="P70" t="s">
        <v>32</v>
      </c>
      <c r="Q70" t="s">
        <v>24</v>
      </c>
      <c r="R70" t="s">
        <v>23</v>
      </c>
      <c r="S70" t="s">
        <v>24</v>
      </c>
      <c r="T70" t="s">
        <v>23</v>
      </c>
      <c r="U70" t="s">
        <v>23</v>
      </c>
      <c r="V70" t="s">
        <v>24</v>
      </c>
    </row>
    <row r="71" spans="1:22">
      <c r="A71" t="s">
        <v>107</v>
      </c>
      <c r="B71" s="21">
        <v>34</v>
      </c>
      <c r="C71" s="21">
        <v>81617</v>
      </c>
      <c r="D71" s="21">
        <v>822</v>
      </c>
      <c r="E71" t="str">
        <f>VLOOKUP(Table13[[#This Row],[Credit_Score]],Table4[],2,TRUE)</f>
        <v>Low Risk</v>
      </c>
      <c r="F71">
        <v>0.66263888137057902</v>
      </c>
      <c r="G71" t="str">
        <f>IF(Table13[[#This Row],[Credit_Utilization]]&lt;0.3,"Low Utilization",
IF(Table13[[#This Row],[Credit_Utilization]]&lt;0.7,"Moderate Utilization",
"High Utilization"))</f>
        <v>Moderate Utilization</v>
      </c>
      <c r="H71" s="21">
        <v>6</v>
      </c>
      <c r="I71" s="21">
        <v>0</v>
      </c>
      <c r="J71" s="21">
        <v>24917</v>
      </c>
      <c r="K71">
        <v>0.37502781441995098</v>
      </c>
      <c r="L71" t="str">
        <f>IF(Table13[[#This Row],[Debt_to_Income_Ratio]]&lt;0.3,"Low DTI", IF(Table13[[#This Row],[Debt_to_Income_Ratio]]&lt;0.5,"Moderate DTI", "High DTI"))</f>
        <v>Moderate DTI</v>
      </c>
      <c r="M71" t="s">
        <v>26</v>
      </c>
      <c r="N71" s="21">
        <v>18</v>
      </c>
      <c r="O71" t="s">
        <v>37</v>
      </c>
      <c r="P71" t="s">
        <v>32</v>
      </c>
      <c r="Q71" t="s">
        <v>23</v>
      </c>
      <c r="R71" t="s">
        <v>24</v>
      </c>
      <c r="S71" t="s">
        <v>29</v>
      </c>
      <c r="T71" t="s">
        <v>29</v>
      </c>
      <c r="U71" t="s">
        <v>29</v>
      </c>
      <c r="V71" t="s">
        <v>24</v>
      </c>
    </row>
    <row r="72" spans="1:22">
      <c r="A72" t="s">
        <v>108</v>
      </c>
      <c r="B72" s="21">
        <v>53</v>
      </c>
      <c r="C72" s="21">
        <v>196415</v>
      </c>
      <c r="D72" s="21">
        <v>797</v>
      </c>
      <c r="E72" t="str">
        <f>VLOOKUP(Table13[[#This Row],[Credit_Score]],Table4[],2,TRUE)</f>
        <v>Low Risk</v>
      </c>
      <c r="F72">
        <v>0.58980219268378697</v>
      </c>
      <c r="G72" t="str">
        <f>IF(Table13[[#This Row],[Credit_Utilization]]&lt;0.3,"Low Utilization",
IF(Table13[[#This Row],[Credit_Utilization]]&lt;0.7,"Moderate Utilization",
"High Utilization"))</f>
        <v>Moderate Utilization</v>
      </c>
      <c r="H72" s="21">
        <v>6</v>
      </c>
      <c r="I72" s="21">
        <v>1</v>
      </c>
      <c r="J72" s="21">
        <v>77348</v>
      </c>
      <c r="K72">
        <v>0.31314193440413501</v>
      </c>
      <c r="L72" t="str">
        <f>IF(Table13[[#This Row],[Debt_to_Income_Ratio]]&lt;0.3,"Low DTI", IF(Table13[[#This Row],[Debt_to_Income_Ratio]]&lt;0.5,"Moderate DTI", "High DTI"))</f>
        <v>Moderate DTI</v>
      </c>
      <c r="M72" t="s">
        <v>43</v>
      </c>
      <c r="N72" s="21">
        <v>4</v>
      </c>
      <c r="O72" t="s">
        <v>21</v>
      </c>
      <c r="P72" t="s">
        <v>53</v>
      </c>
      <c r="Q72" t="s">
        <v>29</v>
      </c>
      <c r="R72" t="s">
        <v>29</v>
      </c>
      <c r="S72" t="s">
        <v>24</v>
      </c>
      <c r="T72" t="s">
        <v>24</v>
      </c>
      <c r="U72" t="s">
        <v>29</v>
      </c>
      <c r="V72" t="s">
        <v>23</v>
      </c>
    </row>
    <row r="73" spans="1:22">
      <c r="A73" t="s">
        <v>109</v>
      </c>
      <c r="B73" s="21">
        <v>67</v>
      </c>
      <c r="C73" s="21">
        <v>159572</v>
      </c>
      <c r="D73" s="21">
        <v>371</v>
      </c>
      <c r="E73" t="str">
        <f>VLOOKUP(Table13[[#This Row],[Credit_Score]],Table4[],2,TRUE)</f>
        <v>High Risk</v>
      </c>
      <c r="F73">
        <v>0.393898475412368</v>
      </c>
      <c r="G73" t="str">
        <f>IF(Table13[[#This Row],[Credit_Utilization]]&lt;0.3,"Low Utilization",
IF(Table13[[#This Row],[Credit_Utilization]]&lt;0.7,"Moderate Utilization",
"High Utilization"))</f>
        <v>Moderate Utilization</v>
      </c>
      <c r="H73" s="21">
        <v>3</v>
      </c>
      <c r="I73" s="21">
        <v>0</v>
      </c>
      <c r="J73" s="21">
        <v>16310</v>
      </c>
      <c r="K73">
        <v>0.25925228285851298</v>
      </c>
      <c r="L73" t="str">
        <f>IF(Table13[[#This Row],[Debt_to_Income_Ratio]]&lt;0.3,"Low DTI", IF(Table13[[#This Row],[Debt_to_Income_Ratio]]&lt;0.5,"Moderate DTI", "High DTI"))</f>
        <v>Low DTI</v>
      </c>
      <c r="M73" t="s">
        <v>34</v>
      </c>
      <c r="N73" s="21">
        <v>17</v>
      </c>
      <c r="O73" t="s">
        <v>21</v>
      </c>
      <c r="P73" t="s">
        <v>22</v>
      </c>
      <c r="Q73" t="s">
        <v>24</v>
      </c>
      <c r="R73" t="s">
        <v>29</v>
      </c>
      <c r="S73" t="s">
        <v>29</v>
      </c>
      <c r="T73" t="s">
        <v>24</v>
      </c>
      <c r="U73" t="s">
        <v>29</v>
      </c>
      <c r="V73" t="s">
        <v>29</v>
      </c>
    </row>
    <row r="74" spans="1:22">
      <c r="A74" t="s">
        <v>110</v>
      </c>
      <c r="B74" s="21">
        <v>57</v>
      </c>
      <c r="C74" s="21">
        <v>136465</v>
      </c>
      <c r="D74" s="21">
        <v>567</v>
      </c>
      <c r="E74" t="str">
        <f>VLOOKUP(Table13[[#This Row],[Credit_Score]],Table4[],2,TRUE)</f>
        <v>High Risk</v>
      </c>
      <c r="F74">
        <v>0.83793808267174397</v>
      </c>
      <c r="G74" t="str">
        <f>IF(Table13[[#This Row],[Credit_Utilization]]&lt;0.3,"Low Utilization",
IF(Table13[[#This Row],[Credit_Utilization]]&lt;0.7,"Moderate Utilization",
"High Utilization"))</f>
        <v>High Utilization</v>
      </c>
      <c r="H74" s="21">
        <v>5</v>
      </c>
      <c r="I74" s="21">
        <v>0</v>
      </c>
      <c r="J74" s="21">
        <v>95303</v>
      </c>
      <c r="K74">
        <v>0.37013250045677598</v>
      </c>
      <c r="L74" t="str">
        <f>IF(Table13[[#This Row],[Debt_to_Income_Ratio]]&lt;0.3,"Low DTI", IF(Table13[[#This Row],[Debt_to_Income_Ratio]]&lt;0.5,"Moderate DTI", "High DTI"))</f>
        <v>Moderate DTI</v>
      </c>
      <c r="M74" t="s">
        <v>43</v>
      </c>
      <c r="N74" s="21">
        <v>19</v>
      </c>
      <c r="O74" t="s">
        <v>31</v>
      </c>
      <c r="P74" t="s">
        <v>32</v>
      </c>
      <c r="Q74" t="s">
        <v>23</v>
      </c>
      <c r="R74" t="s">
        <v>23</v>
      </c>
      <c r="S74" t="s">
        <v>24</v>
      </c>
      <c r="T74" t="s">
        <v>29</v>
      </c>
      <c r="U74" t="s">
        <v>29</v>
      </c>
      <c r="V74" t="s">
        <v>24</v>
      </c>
    </row>
    <row r="75" spans="1:22">
      <c r="A75" t="s">
        <v>111</v>
      </c>
      <c r="B75" s="21">
        <v>21</v>
      </c>
      <c r="C75" s="21">
        <v>36447</v>
      </c>
      <c r="D75" s="21">
        <v>448</v>
      </c>
      <c r="E75" t="str">
        <f>VLOOKUP(Table13[[#This Row],[Credit_Score]],Table4[],2,TRUE)</f>
        <v>High Risk</v>
      </c>
      <c r="F75">
        <v>0.87860728278233202</v>
      </c>
      <c r="G75" t="str">
        <f>IF(Table13[[#This Row],[Credit_Utilization]]&lt;0.3,"Low Utilization",
IF(Table13[[#This Row],[Credit_Utilization]]&lt;0.7,"Moderate Utilization",
"High Utilization"))</f>
        <v>High Utilization</v>
      </c>
      <c r="H75" s="21">
        <v>3</v>
      </c>
      <c r="I75" s="21">
        <v>0</v>
      </c>
      <c r="J75" s="21">
        <v>13355</v>
      </c>
      <c r="K75">
        <v>0.18729025481530401</v>
      </c>
      <c r="L75" t="str">
        <f>IF(Table13[[#This Row],[Debt_to_Income_Ratio]]&lt;0.3,"Low DTI", IF(Table13[[#This Row],[Debt_to_Income_Ratio]]&lt;0.5,"Moderate DTI", "High DTI"))</f>
        <v>Low DTI</v>
      </c>
      <c r="M75" t="s">
        <v>26</v>
      </c>
      <c r="N75" s="21">
        <v>11</v>
      </c>
      <c r="O75" t="s">
        <v>45</v>
      </c>
      <c r="P75" t="s">
        <v>53</v>
      </c>
      <c r="Q75" t="s">
        <v>29</v>
      </c>
      <c r="R75" t="s">
        <v>29</v>
      </c>
      <c r="S75" t="s">
        <v>24</v>
      </c>
      <c r="T75" t="s">
        <v>23</v>
      </c>
      <c r="U75" t="s">
        <v>29</v>
      </c>
      <c r="V75" t="s">
        <v>24</v>
      </c>
    </row>
    <row r="76" spans="1:22">
      <c r="A76" t="s">
        <v>112</v>
      </c>
      <c r="B76" s="21">
        <v>19</v>
      </c>
      <c r="C76" s="21">
        <v>159188</v>
      </c>
      <c r="D76" s="21">
        <v>835</v>
      </c>
      <c r="E76" t="str">
        <f>VLOOKUP(Table13[[#This Row],[Credit_Score]],Table4[],2,TRUE)</f>
        <v>Low Risk</v>
      </c>
      <c r="F76">
        <v>0.50522448630794503</v>
      </c>
      <c r="G76" t="str">
        <f>IF(Table13[[#This Row],[Credit_Utilization]]&lt;0.3,"Low Utilization",
IF(Table13[[#This Row],[Credit_Utilization]]&lt;0.7,"Moderate Utilization",
"High Utilization"))</f>
        <v>Moderate Utilization</v>
      </c>
      <c r="H76" s="21">
        <v>5</v>
      </c>
      <c r="I76" s="21">
        <v>0</v>
      </c>
      <c r="J76" s="21">
        <v>96507</v>
      </c>
      <c r="K76">
        <v>0.45343635334410198</v>
      </c>
      <c r="L76" t="str">
        <f>IF(Table13[[#This Row],[Debt_to_Income_Ratio]]&lt;0.3,"Low DTI", IF(Table13[[#This Row],[Debt_to_Income_Ratio]]&lt;0.5,"Moderate DTI", "High DTI"))</f>
        <v>Moderate DTI</v>
      </c>
      <c r="M76" t="s">
        <v>43</v>
      </c>
      <c r="N76" s="21">
        <v>16</v>
      </c>
      <c r="O76" t="s">
        <v>31</v>
      </c>
      <c r="P76" t="s">
        <v>22</v>
      </c>
      <c r="Q76" t="s">
        <v>29</v>
      </c>
      <c r="R76" t="s">
        <v>29</v>
      </c>
      <c r="S76" t="s">
        <v>29</v>
      </c>
      <c r="T76" t="s">
        <v>24</v>
      </c>
      <c r="U76" t="s">
        <v>29</v>
      </c>
      <c r="V76" t="s">
        <v>29</v>
      </c>
    </row>
    <row r="77" spans="1:22">
      <c r="A77" t="s">
        <v>113</v>
      </c>
      <c r="B77" s="21">
        <v>23</v>
      </c>
      <c r="C77" s="21">
        <v>181267</v>
      </c>
      <c r="D77" s="21">
        <v>542</v>
      </c>
      <c r="E77" t="str">
        <f>VLOOKUP(Table13[[#This Row],[Credit_Score]],Table4[],2,TRUE)</f>
        <v>High Risk</v>
      </c>
      <c r="F77">
        <v>0.05</v>
      </c>
      <c r="G77" t="str">
        <f>IF(Table13[[#This Row],[Credit_Utilization]]&lt;0.3,"Low Utilization",
IF(Table13[[#This Row],[Credit_Utilization]]&lt;0.7,"Moderate Utilization",
"High Utilization"))</f>
        <v>Low Utilization</v>
      </c>
      <c r="H77" s="21">
        <v>6</v>
      </c>
      <c r="I77" s="21">
        <v>0</v>
      </c>
      <c r="J77" s="21">
        <v>24851</v>
      </c>
      <c r="K77">
        <v>0.28223632946146199</v>
      </c>
      <c r="L77" t="str">
        <f>IF(Table13[[#This Row],[Debt_to_Income_Ratio]]&lt;0.3,"Low DTI", IF(Table13[[#This Row],[Debt_to_Income_Ratio]]&lt;0.5,"Moderate DTI", "High DTI"))</f>
        <v>Low DTI</v>
      </c>
      <c r="M77" t="s">
        <v>50</v>
      </c>
      <c r="N77" s="21">
        <v>12</v>
      </c>
      <c r="O77" t="s">
        <v>31</v>
      </c>
      <c r="P77" t="s">
        <v>32</v>
      </c>
      <c r="Q77" t="s">
        <v>24</v>
      </c>
      <c r="R77" t="s">
        <v>24</v>
      </c>
      <c r="S77" t="s">
        <v>23</v>
      </c>
      <c r="T77" t="s">
        <v>24</v>
      </c>
      <c r="U77" t="s">
        <v>23</v>
      </c>
      <c r="V77" t="s">
        <v>29</v>
      </c>
    </row>
    <row r="78" spans="1:22">
      <c r="A78" t="s">
        <v>114</v>
      </c>
      <c r="B78" s="21">
        <v>71</v>
      </c>
      <c r="C78" s="21">
        <v>107658</v>
      </c>
      <c r="D78" s="21">
        <v>611</v>
      </c>
      <c r="E78" t="str">
        <f>VLOOKUP(Table13[[#This Row],[Credit_Score]],Table4[],2,TRUE)</f>
        <v>Medium Risk</v>
      </c>
      <c r="F78">
        <v>0.67728963940325104</v>
      </c>
      <c r="G78" t="str">
        <f>IF(Table13[[#This Row],[Credit_Utilization]]&lt;0.3,"Low Utilization",
IF(Table13[[#This Row],[Credit_Utilization]]&lt;0.7,"Moderate Utilization",
"High Utilization"))</f>
        <v>Moderate Utilization</v>
      </c>
      <c r="H78" s="21">
        <v>6</v>
      </c>
      <c r="I78" s="21">
        <v>0</v>
      </c>
      <c r="J78" s="21">
        <v>23908</v>
      </c>
      <c r="K78">
        <v>0.33051067332407202</v>
      </c>
      <c r="L78" t="str">
        <f>IF(Table13[[#This Row],[Debt_to_Income_Ratio]]&lt;0.3,"Low DTI", IF(Table13[[#This Row],[Debt_to_Income_Ratio]]&lt;0.5,"Moderate DTI", "High DTI"))</f>
        <v>Moderate DTI</v>
      </c>
      <c r="M78" t="s">
        <v>43</v>
      </c>
      <c r="N78" s="21">
        <v>1</v>
      </c>
      <c r="O78" t="s">
        <v>21</v>
      </c>
      <c r="P78" t="s">
        <v>38</v>
      </c>
      <c r="Q78" t="s">
        <v>23</v>
      </c>
      <c r="R78" t="s">
        <v>24</v>
      </c>
      <c r="S78" t="s">
        <v>23</v>
      </c>
      <c r="T78" t="s">
        <v>29</v>
      </c>
      <c r="U78" t="s">
        <v>24</v>
      </c>
      <c r="V78" t="s">
        <v>24</v>
      </c>
    </row>
    <row r="79" spans="1:22">
      <c r="A79" t="s">
        <v>115</v>
      </c>
      <c r="B79" s="21">
        <v>59</v>
      </c>
      <c r="C79" s="21">
        <v>59425</v>
      </c>
      <c r="D79" s="21">
        <v>577</v>
      </c>
      <c r="E79" t="str">
        <f>VLOOKUP(Table13[[#This Row],[Credit_Score]],Table4[],2,TRUE)</f>
        <v>High Risk</v>
      </c>
      <c r="F79">
        <v>0.05</v>
      </c>
      <c r="G79" t="str">
        <f>IF(Table13[[#This Row],[Credit_Utilization]]&lt;0.3,"Low Utilization",
IF(Table13[[#This Row],[Credit_Utilization]]&lt;0.7,"Moderate Utilization",
"High Utilization"))</f>
        <v>Low Utilization</v>
      </c>
      <c r="H79" s="21">
        <v>0</v>
      </c>
      <c r="I79" s="21">
        <v>0</v>
      </c>
      <c r="J79" s="21">
        <v>65548</v>
      </c>
      <c r="K79">
        <v>0.209039892380671</v>
      </c>
      <c r="L79" t="str">
        <f>IF(Table13[[#This Row],[Debt_to_Income_Ratio]]&lt;0.3,"Low DTI", IF(Table13[[#This Row],[Debt_to_Income_Ratio]]&lt;0.5,"Moderate DTI", "High DTI"))</f>
        <v>Low DTI</v>
      </c>
      <c r="M79" t="s">
        <v>34</v>
      </c>
      <c r="N79" s="21">
        <v>12</v>
      </c>
      <c r="O79" t="s">
        <v>31</v>
      </c>
      <c r="P79" t="s">
        <v>28</v>
      </c>
      <c r="Q79" t="s">
        <v>24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</row>
    <row r="80" spans="1:22">
      <c r="A80" t="s">
        <v>116</v>
      </c>
      <c r="B80" s="21">
        <v>21</v>
      </c>
      <c r="C80" s="21">
        <v>97844</v>
      </c>
      <c r="D80" s="21">
        <v>728</v>
      </c>
      <c r="E80" t="str">
        <f>VLOOKUP(Table13[[#This Row],[Credit_Score]],Table4[],2,TRUE)</f>
        <v>Medium Risk</v>
      </c>
      <c r="F80">
        <v>0.79522922214401304</v>
      </c>
      <c r="G80" t="str">
        <f>IF(Table13[[#This Row],[Credit_Utilization]]&lt;0.3,"Low Utilization",
IF(Table13[[#This Row],[Credit_Utilization]]&lt;0.7,"Moderate Utilization",
"High Utilization"))</f>
        <v>High Utilization</v>
      </c>
      <c r="H80" s="21">
        <v>2</v>
      </c>
      <c r="I80" s="21">
        <v>0</v>
      </c>
      <c r="J80" s="21">
        <v>82909</v>
      </c>
      <c r="K80">
        <v>0.37229862631192201</v>
      </c>
      <c r="L80" t="str">
        <f>IF(Table13[[#This Row],[Debt_to_Income_Ratio]]&lt;0.3,"Low DTI", IF(Table13[[#This Row],[Debt_to_Income_Ratio]]&lt;0.5,"Moderate DTI", "High DTI"))</f>
        <v>Moderate DTI</v>
      </c>
      <c r="M80" t="s">
        <v>43</v>
      </c>
      <c r="N80" s="21">
        <v>6</v>
      </c>
      <c r="O80" t="s">
        <v>45</v>
      </c>
      <c r="P80" t="s">
        <v>22</v>
      </c>
      <c r="Q80" t="s">
        <v>29</v>
      </c>
      <c r="R80" t="s">
        <v>24</v>
      </c>
      <c r="S80" t="s">
        <v>29</v>
      </c>
      <c r="T80" t="s">
        <v>23</v>
      </c>
      <c r="U80" t="s">
        <v>29</v>
      </c>
      <c r="V80" t="s">
        <v>23</v>
      </c>
    </row>
    <row r="81" spans="1:22">
      <c r="A81" t="s">
        <v>117</v>
      </c>
      <c r="B81" s="21">
        <v>71</v>
      </c>
      <c r="C81" s="21">
        <v>115235</v>
      </c>
      <c r="D81" s="21">
        <v>427</v>
      </c>
      <c r="E81" t="str">
        <f>VLOOKUP(Table13[[#This Row],[Credit_Score]],Table4[],2,TRUE)</f>
        <v>High Risk</v>
      </c>
      <c r="F81">
        <v>0.71671698014845897</v>
      </c>
      <c r="G81" t="str">
        <f>IF(Table13[[#This Row],[Credit_Utilization]]&lt;0.3,"Low Utilization",
IF(Table13[[#This Row],[Credit_Utilization]]&lt;0.7,"Moderate Utilization",
"High Utilization"))</f>
        <v>High Utilization</v>
      </c>
      <c r="H81" s="21">
        <v>1</v>
      </c>
      <c r="I81" s="21">
        <v>0</v>
      </c>
      <c r="J81" s="21">
        <v>31454</v>
      </c>
      <c r="K81">
        <v>0.25462583871616701</v>
      </c>
      <c r="L81" t="str">
        <f>IF(Table13[[#This Row],[Debt_to_Income_Ratio]]&lt;0.3,"Low DTI", IF(Table13[[#This Row],[Debt_to_Income_Ratio]]&lt;0.5,"Moderate DTI", "High DTI"))</f>
        <v>Low DTI</v>
      </c>
      <c r="M81" t="s">
        <v>43</v>
      </c>
      <c r="N81" s="21">
        <v>9</v>
      </c>
      <c r="O81" t="s">
        <v>31</v>
      </c>
      <c r="P81" t="s">
        <v>53</v>
      </c>
      <c r="Q81" t="s">
        <v>24</v>
      </c>
      <c r="R81" t="s">
        <v>29</v>
      </c>
      <c r="S81" t="s">
        <v>23</v>
      </c>
      <c r="T81" t="s">
        <v>29</v>
      </c>
      <c r="U81" t="s">
        <v>29</v>
      </c>
      <c r="V81" t="s">
        <v>23</v>
      </c>
    </row>
    <row r="82" spans="1:22">
      <c r="A82" t="s">
        <v>118</v>
      </c>
      <c r="B82" s="21">
        <v>46</v>
      </c>
      <c r="C82" s="21">
        <v>189358</v>
      </c>
      <c r="D82" s="21">
        <v>824</v>
      </c>
      <c r="E82" t="str">
        <f>VLOOKUP(Table13[[#This Row],[Credit_Score]],Table4[],2,TRUE)</f>
        <v>Low Risk</v>
      </c>
      <c r="F82">
        <v>0.85484250082760405</v>
      </c>
      <c r="G82" t="str">
        <f>IF(Table13[[#This Row],[Credit_Utilization]]&lt;0.3,"Low Utilization",
IF(Table13[[#This Row],[Credit_Utilization]]&lt;0.7,"Moderate Utilization",
"High Utilization"))</f>
        <v>High Utilization</v>
      </c>
      <c r="H82" s="21">
        <v>3</v>
      </c>
      <c r="I82" s="21">
        <v>0</v>
      </c>
      <c r="J82" s="21">
        <v>4617</v>
      </c>
      <c r="K82">
        <v>0.36492287903050902</v>
      </c>
      <c r="L82" t="str">
        <f>IF(Table13[[#This Row],[Debt_to_Income_Ratio]]&lt;0.3,"Low DTI", IF(Table13[[#This Row],[Debt_to_Income_Ratio]]&lt;0.5,"Moderate DTI", "High DTI"))</f>
        <v>Moderate DTI</v>
      </c>
      <c r="M82" t="s">
        <v>50</v>
      </c>
      <c r="N82" s="21">
        <v>5</v>
      </c>
      <c r="O82" t="s">
        <v>45</v>
      </c>
      <c r="P82" t="s">
        <v>22</v>
      </c>
      <c r="Q82" t="s">
        <v>24</v>
      </c>
      <c r="R82" t="s">
        <v>23</v>
      </c>
      <c r="S82" t="s">
        <v>23</v>
      </c>
      <c r="T82" t="s">
        <v>29</v>
      </c>
      <c r="U82" t="s">
        <v>23</v>
      </c>
      <c r="V82" t="s">
        <v>29</v>
      </c>
    </row>
    <row r="83" spans="1:22">
      <c r="A83" t="s">
        <v>119</v>
      </c>
      <c r="B83" s="21">
        <v>35</v>
      </c>
      <c r="C83" s="21">
        <v>88847</v>
      </c>
      <c r="D83" s="21">
        <v>686</v>
      </c>
      <c r="E83" t="str">
        <f>VLOOKUP(Table13[[#This Row],[Credit_Score]],Table4[],2,TRUE)</f>
        <v>Medium Risk</v>
      </c>
      <c r="F83">
        <v>0.55205311167354498</v>
      </c>
      <c r="G83" t="str">
        <f>IF(Table13[[#This Row],[Credit_Utilization]]&lt;0.3,"Low Utilization",
IF(Table13[[#This Row],[Credit_Utilization]]&lt;0.7,"Moderate Utilization",
"High Utilization"))</f>
        <v>Moderate Utilization</v>
      </c>
      <c r="H83" s="21">
        <v>4</v>
      </c>
      <c r="I83" s="21">
        <v>0</v>
      </c>
      <c r="J83" s="21">
        <v>92329</v>
      </c>
      <c r="K83">
        <v>0.37573934689773802</v>
      </c>
      <c r="L83" t="str">
        <f>IF(Table13[[#This Row],[Debt_to_Income_Ratio]]&lt;0.3,"Low DTI", IF(Table13[[#This Row],[Debt_to_Income_Ratio]]&lt;0.5,"Moderate DTI", "High DTI"))</f>
        <v>Moderate DTI</v>
      </c>
      <c r="M83" t="s">
        <v>50</v>
      </c>
      <c r="N83" s="21">
        <v>2</v>
      </c>
      <c r="O83" t="s">
        <v>31</v>
      </c>
      <c r="P83" t="s">
        <v>53</v>
      </c>
      <c r="Q83" t="s">
        <v>23</v>
      </c>
      <c r="R83" t="s">
        <v>23</v>
      </c>
      <c r="S83" t="s">
        <v>24</v>
      </c>
      <c r="T83" t="s">
        <v>29</v>
      </c>
      <c r="U83" t="s">
        <v>23</v>
      </c>
      <c r="V83" t="s">
        <v>23</v>
      </c>
    </row>
    <row r="84" spans="1:22">
      <c r="A84" t="s">
        <v>120</v>
      </c>
      <c r="B84" s="21">
        <v>43</v>
      </c>
      <c r="C84" s="21">
        <v>172504</v>
      </c>
      <c r="D84" s="21">
        <v>835</v>
      </c>
      <c r="E84" t="str">
        <f>VLOOKUP(Table13[[#This Row],[Credit_Score]],Table4[],2,TRUE)</f>
        <v>Low Risk</v>
      </c>
      <c r="F84">
        <v>0.42772284656363202</v>
      </c>
      <c r="G84" t="str">
        <f>IF(Table13[[#This Row],[Credit_Utilization]]&lt;0.3,"Low Utilization",
IF(Table13[[#This Row],[Credit_Utilization]]&lt;0.7,"Moderate Utilization",
"High Utilization"))</f>
        <v>Moderate Utilization</v>
      </c>
      <c r="H84" s="21">
        <v>5</v>
      </c>
      <c r="I84" s="21">
        <v>0</v>
      </c>
      <c r="J84" s="21">
        <v>28298</v>
      </c>
      <c r="K84">
        <v>0.235236788641145</v>
      </c>
      <c r="L84" t="str">
        <f>IF(Table13[[#This Row],[Debt_to_Income_Ratio]]&lt;0.3,"Low DTI", IF(Table13[[#This Row],[Debt_to_Income_Ratio]]&lt;0.5,"Moderate DTI", "High DTI"))</f>
        <v>Low DTI</v>
      </c>
      <c r="M84" t="s">
        <v>34</v>
      </c>
      <c r="N84" s="21">
        <v>2</v>
      </c>
      <c r="O84" t="s">
        <v>45</v>
      </c>
      <c r="P84" t="s">
        <v>22</v>
      </c>
      <c r="Q84" t="s">
        <v>29</v>
      </c>
      <c r="R84" t="s">
        <v>24</v>
      </c>
      <c r="S84" t="s">
        <v>23</v>
      </c>
      <c r="T84" t="s">
        <v>23</v>
      </c>
      <c r="U84" t="s">
        <v>24</v>
      </c>
      <c r="V84" t="s">
        <v>24</v>
      </c>
    </row>
    <row r="85" spans="1:22">
      <c r="A85" t="s">
        <v>121</v>
      </c>
      <c r="B85" s="21">
        <v>61</v>
      </c>
      <c r="C85" s="21">
        <v>115235</v>
      </c>
      <c r="D85" s="21">
        <v>820</v>
      </c>
      <c r="E85" t="str">
        <f>VLOOKUP(Table13[[#This Row],[Credit_Score]],Table4[],2,TRUE)</f>
        <v>Low Risk</v>
      </c>
      <c r="F85">
        <v>0.40997977326195501</v>
      </c>
      <c r="G85" t="str">
        <f>IF(Table13[[#This Row],[Credit_Utilization]]&lt;0.3,"Low Utilization",
IF(Table13[[#This Row],[Credit_Utilization]]&lt;0.7,"Moderate Utilization",
"High Utilization"))</f>
        <v>Moderate Utilization</v>
      </c>
      <c r="H85" s="21">
        <v>4</v>
      </c>
      <c r="I85" s="21">
        <v>0</v>
      </c>
      <c r="J85" s="21">
        <v>10942</v>
      </c>
      <c r="K85">
        <v>0.18764708790859999</v>
      </c>
      <c r="L85" t="str">
        <f>IF(Table13[[#This Row],[Debt_to_Income_Ratio]]&lt;0.3,"Low DTI", IF(Table13[[#This Row],[Debt_to_Income_Ratio]]&lt;0.5,"Moderate DTI", "High DTI"))</f>
        <v>Low DTI</v>
      </c>
      <c r="M85" t="s">
        <v>50</v>
      </c>
      <c r="N85" s="21">
        <v>17</v>
      </c>
      <c r="O85" t="s">
        <v>31</v>
      </c>
      <c r="P85" t="s">
        <v>53</v>
      </c>
      <c r="Q85" t="s">
        <v>23</v>
      </c>
      <c r="R85" t="s">
        <v>23</v>
      </c>
      <c r="S85" t="s">
        <v>24</v>
      </c>
      <c r="T85" t="s">
        <v>23</v>
      </c>
      <c r="U85" t="s">
        <v>23</v>
      </c>
      <c r="V85" t="s">
        <v>23</v>
      </c>
    </row>
    <row r="86" spans="1:22">
      <c r="A86" t="s">
        <v>122</v>
      </c>
      <c r="B86" s="21">
        <v>51</v>
      </c>
      <c r="C86" s="21">
        <v>186230</v>
      </c>
      <c r="D86" s="21">
        <v>336</v>
      </c>
      <c r="E86" t="str">
        <f>VLOOKUP(Table13[[#This Row],[Credit_Score]],Table4[],2,TRUE)</f>
        <v>High Risk</v>
      </c>
      <c r="F86">
        <v>0.39074796579381998</v>
      </c>
      <c r="G86" t="str">
        <f>IF(Table13[[#This Row],[Credit_Utilization]]&lt;0.3,"Low Utilization",
IF(Table13[[#This Row],[Credit_Utilization]]&lt;0.7,"Moderate Utilization",
"High Utilization"))</f>
        <v>Moderate Utilization</v>
      </c>
      <c r="H86" s="21">
        <v>2</v>
      </c>
      <c r="I86" s="21">
        <v>0</v>
      </c>
      <c r="J86" s="21">
        <v>51440</v>
      </c>
      <c r="K86">
        <v>0.45318999165445401</v>
      </c>
      <c r="L86" t="str">
        <f>IF(Table13[[#This Row],[Debt_to_Income_Ratio]]&lt;0.3,"Low DTI", IF(Table13[[#This Row],[Debt_to_Income_Ratio]]&lt;0.5,"Moderate DTI", "High DTI"))</f>
        <v>Moderate DTI</v>
      </c>
      <c r="M86" t="s">
        <v>43</v>
      </c>
      <c r="N86" s="21">
        <v>10</v>
      </c>
      <c r="O86" t="s">
        <v>31</v>
      </c>
      <c r="P86" t="s">
        <v>32</v>
      </c>
      <c r="Q86" t="s">
        <v>29</v>
      </c>
      <c r="R86" t="s">
        <v>24</v>
      </c>
      <c r="S86" t="s">
        <v>23</v>
      </c>
      <c r="T86" t="s">
        <v>29</v>
      </c>
      <c r="U86" t="s">
        <v>23</v>
      </c>
      <c r="V86" t="s">
        <v>29</v>
      </c>
    </row>
    <row r="87" spans="1:22">
      <c r="A87" t="s">
        <v>123</v>
      </c>
      <c r="B87" s="21">
        <v>27</v>
      </c>
      <c r="C87" s="21">
        <v>80215</v>
      </c>
      <c r="D87" s="21">
        <v>572</v>
      </c>
      <c r="E87" t="str">
        <f>VLOOKUP(Table13[[#This Row],[Credit_Score]],Table4[],2,TRUE)</f>
        <v>High Risk</v>
      </c>
      <c r="F87">
        <v>0.69621373073493997</v>
      </c>
      <c r="G87" t="str">
        <f>IF(Table13[[#This Row],[Credit_Utilization]]&lt;0.3,"Low Utilization",
IF(Table13[[#This Row],[Credit_Utilization]]&lt;0.7,"Moderate Utilization",
"High Utilization"))</f>
        <v>Moderate Utilization</v>
      </c>
      <c r="H87" s="21">
        <v>5</v>
      </c>
      <c r="I87" s="21">
        <v>0</v>
      </c>
      <c r="J87" s="21">
        <v>12707</v>
      </c>
      <c r="K87">
        <v>0.28077009659709101</v>
      </c>
      <c r="L87" t="str">
        <f>IF(Table13[[#This Row],[Debt_to_Income_Ratio]]&lt;0.3,"Low DTI", IF(Table13[[#This Row],[Debt_to_Income_Ratio]]&lt;0.5,"Moderate DTI", "High DTI"))</f>
        <v>Low DTI</v>
      </c>
      <c r="M87" t="s">
        <v>43</v>
      </c>
      <c r="N87" s="21">
        <v>19</v>
      </c>
      <c r="O87" t="s">
        <v>37</v>
      </c>
      <c r="P87" t="s">
        <v>38</v>
      </c>
      <c r="Q87" t="s">
        <v>24</v>
      </c>
      <c r="R87" t="s">
        <v>24</v>
      </c>
      <c r="S87" t="s">
        <v>29</v>
      </c>
      <c r="T87" t="s">
        <v>23</v>
      </c>
      <c r="U87" t="s">
        <v>24</v>
      </c>
      <c r="V87" t="s">
        <v>29</v>
      </c>
    </row>
    <row r="88" spans="1:22">
      <c r="A88" t="s">
        <v>124</v>
      </c>
      <c r="B88" s="21">
        <v>53</v>
      </c>
      <c r="C88" s="21">
        <v>141131</v>
      </c>
      <c r="D88" s="21">
        <v>601</v>
      </c>
      <c r="E88" t="str">
        <f>VLOOKUP(Table13[[#This Row],[Credit_Score]],Table4[],2,TRUE)</f>
        <v>Medium Risk</v>
      </c>
      <c r="F88">
        <v>0.64245429790117503</v>
      </c>
      <c r="G88" t="str">
        <f>IF(Table13[[#This Row],[Credit_Utilization]]&lt;0.3,"Low Utilization",
IF(Table13[[#This Row],[Credit_Utilization]]&lt;0.7,"Moderate Utilization",
"High Utilization"))</f>
        <v>Moderate Utilization</v>
      </c>
      <c r="H88" s="21">
        <v>3</v>
      </c>
      <c r="I88" s="21">
        <v>1</v>
      </c>
      <c r="J88" s="21">
        <v>92865</v>
      </c>
      <c r="K88">
        <v>0.32248488160456301</v>
      </c>
      <c r="L88" t="str">
        <f>IF(Table13[[#This Row],[Debt_to_Income_Ratio]]&lt;0.3,"Low DTI", IF(Table13[[#This Row],[Debt_to_Income_Ratio]]&lt;0.5,"Moderate DTI", "High DTI"))</f>
        <v>Moderate DTI</v>
      </c>
      <c r="M88" t="s">
        <v>34</v>
      </c>
      <c r="N88" s="21">
        <v>4</v>
      </c>
      <c r="O88" t="s">
        <v>45</v>
      </c>
      <c r="P88" t="s">
        <v>32</v>
      </c>
      <c r="Q88" t="s">
        <v>29</v>
      </c>
      <c r="R88" t="s">
        <v>24</v>
      </c>
      <c r="S88" t="s">
        <v>29</v>
      </c>
      <c r="T88" t="s">
        <v>23</v>
      </c>
      <c r="U88" t="s">
        <v>29</v>
      </c>
      <c r="V88" t="s">
        <v>24</v>
      </c>
    </row>
    <row r="89" spans="1:22">
      <c r="A89" t="s">
        <v>125</v>
      </c>
      <c r="B89" s="21">
        <v>31</v>
      </c>
      <c r="C89" s="21">
        <v>188416</v>
      </c>
      <c r="D89" s="21">
        <v>680</v>
      </c>
      <c r="E89" t="str">
        <f>VLOOKUP(Table13[[#This Row],[Credit_Score]],Table4[],2,TRUE)</f>
        <v>Medium Risk</v>
      </c>
      <c r="F89">
        <v>0.524045126686842</v>
      </c>
      <c r="G89" t="str">
        <f>IF(Table13[[#This Row],[Credit_Utilization]]&lt;0.3,"Low Utilization",
IF(Table13[[#This Row],[Credit_Utilization]]&lt;0.7,"Moderate Utilization",
"High Utilization"))</f>
        <v>Moderate Utilization</v>
      </c>
      <c r="H89" s="21">
        <v>0</v>
      </c>
      <c r="I89" s="21">
        <v>0</v>
      </c>
      <c r="J89" s="21">
        <v>35598</v>
      </c>
      <c r="K89">
        <v>0.34854645246467397</v>
      </c>
      <c r="L89" t="str">
        <f>IF(Table13[[#This Row],[Debt_to_Income_Ratio]]&lt;0.3,"Low DTI", IF(Table13[[#This Row],[Debt_to_Income_Ratio]]&lt;0.5,"Moderate DTI", "High DTI"))</f>
        <v>Moderate DTI</v>
      </c>
      <c r="M89" t="s">
        <v>50</v>
      </c>
      <c r="N89" s="21">
        <v>18</v>
      </c>
      <c r="O89" t="s">
        <v>45</v>
      </c>
      <c r="P89" t="s">
        <v>38</v>
      </c>
      <c r="Q89" t="s">
        <v>29</v>
      </c>
      <c r="R89" t="s">
        <v>23</v>
      </c>
      <c r="S89" t="s">
        <v>29</v>
      </c>
      <c r="T89" t="s">
        <v>23</v>
      </c>
      <c r="U89" t="s">
        <v>24</v>
      </c>
      <c r="V89" t="s">
        <v>29</v>
      </c>
    </row>
    <row r="90" spans="1:22">
      <c r="A90" t="s">
        <v>126</v>
      </c>
      <c r="B90" s="21">
        <v>48</v>
      </c>
      <c r="C90" s="21">
        <v>129585</v>
      </c>
      <c r="D90" s="21">
        <v>458</v>
      </c>
      <c r="E90" t="str">
        <f>VLOOKUP(Table13[[#This Row],[Credit_Score]],Table4[],2,TRUE)</f>
        <v>High Risk</v>
      </c>
      <c r="F90">
        <v>0.35556373841460498</v>
      </c>
      <c r="G90" t="str">
        <f>IF(Table13[[#This Row],[Credit_Utilization]]&lt;0.3,"Low Utilization",
IF(Table13[[#This Row],[Credit_Utilization]]&lt;0.7,"Moderate Utilization",
"High Utilization"))</f>
        <v>Moderate Utilization</v>
      </c>
      <c r="H90" s="21">
        <v>4</v>
      </c>
      <c r="I90" s="21">
        <v>0</v>
      </c>
      <c r="J90" s="21">
        <v>51431</v>
      </c>
      <c r="K90">
        <v>0.17462998701017701</v>
      </c>
      <c r="L90" t="str">
        <f>IF(Table13[[#This Row],[Debt_to_Income_Ratio]]&lt;0.3,"Low DTI", IF(Table13[[#This Row],[Debt_to_Income_Ratio]]&lt;0.5,"Moderate DTI", "High DTI"))</f>
        <v>Low DTI</v>
      </c>
      <c r="M90" t="s">
        <v>50</v>
      </c>
      <c r="N90" s="21">
        <v>18</v>
      </c>
      <c r="O90" t="s">
        <v>45</v>
      </c>
      <c r="P90" t="s">
        <v>32</v>
      </c>
      <c r="Q90" t="s">
        <v>29</v>
      </c>
      <c r="R90" t="s">
        <v>23</v>
      </c>
      <c r="S90" t="s">
        <v>24</v>
      </c>
      <c r="T90" t="s">
        <v>23</v>
      </c>
      <c r="U90" t="s">
        <v>24</v>
      </c>
      <c r="V90" t="s">
        <v>29</v>
      </c>
    </row>
    <row r="91" spans="1:22">
      <c r="A91" t="s">
        <v>127</v>
      </c>
      <c r="B91" s="21">
        <v>65</v>
      </c>
      <c r="C91" s="21">
        <v>127856</v>
      </c>
      <c r="D91" s="21">
        <v>361</v>
      </c>
      <c r="E91" t="str">
        <f>VLOOKUP(Table13[[#This Row],[Credit_Score]],Table4[],2,TRUE)</f>
        <v>High Risk</v>
      </c>
      <c r="F91">
        <v>1.0258425262600499</v>
      </c>
      <c r="G91" t="str">
        <f>IF(Table13[[#This Row],[Credit_Utilization]]&lt;0.3,"Low Utilization",
IF(Table13[[#This Row],[Credit_Utilization]]&lt;0.7,"Moderate Utilization",
"High Utilization"))</f>
        <v>High Utilization</v>
      </c>
      <c r="H91" s="21">
        <v>2</v>
      </c>
      <c r="I91" s="21">
        <v>0</v>
      </c>
      <c r="J91" s="21">
        <v>2200</v>
      </c>
      <c r="K91">
        <v>0.34626661368198802</v>
      </c>
      <c r="L91" t="str">
        <f>IF(Table13[[#This Row],[Debt_to_Income_Ratio]]&lt;0.3,"Low DTI", IF(Table13[[#This Row],[Debt_to_Income_Ratio]]&lt;0.5,"Moderate DTI", "High DTI"))</f>
        <v>Moderate DTI</v>
      </c>
      <c r="M91" t="s">
        <v>43</v>
      </c>
      <c r="N91" s="21">
        <v>14</v>
      </c>
      <c r="O91" t="s">
        <v>27</v>
      </c>
      <c r="P91" t="s">
        <v>32</v>
      </c>
      <c r="Q91" t="s">
        <v>29</v>
      </c>
      <c r="R91" t="s">
        <v>23</v>
      </c>
      <c r="S91" t="s">
        <v>29</v>
      </c>
      <c r="T91" t="s">
        <v>24</v>
      </c>
      <c r="U91" t="s">
        <v>24</v>
      </c>
      <c r="V91" t="s">
        <v>29</v>
      </c>
    </row>
    <row r="92" spans="1:22">
      <c r="A92" t="s">
        <v>128</v>
      </c>
      <c r="B92" s="21">
        <v>32</v>
      </c>
      <c r="C92" s="21">
        <v>90353</v>
      </c>
      <c r="D92" s="21">
        <v>664</v>
      </c>
      <c r="E92" t="str">
        <f>VLOOKUP(Table13[[#This Row],[Credit_Score]],Table4[],2,TRUE)</f>
        <v>Medium Risk</v>
      </c>
      <c r="F92">
        <v>0.68247492279257305</v>
      </c>
      <c r="G92" t="str">
        <f>IF(Table13[[#This Row],[Credit_Utilization]]&lt;0.3,"Low Utilization",
IF(Table13[[#This Row],[Credit_Utilization]]&lt;0.7,"Moderate Utilization",
"High Utilization"))</f>
        <v>Moderate Utilization</v>
      </c>
      <c r="H92" s="21">
        <v>3</v>
      </c>
      <c r="I92" s="21">
        <v>0</v>
      </c>
      <c r="J92" s="21">
        <v>20525</v>
      </c>
      <c r="K92">
        <v>0.309912653615463</v>
      </c>
      <c r="L92" t="str">
        <f>IF(Table13[[#This Row],[Debt_to_Income_Ratio]]&lt;0.3,"Low DTI", IF(Table13[[#This Row],[Debt_to_Income_Ratio]]&lt;0.5,"Moderate DTI", "High DTI"))</f>
        <v>Moderate DTI</v>
      </c>
      <c r="M92" t="s">
        <v>43</v>
      </c>
      <c r="N92" s="21">
        <v>15</v>
      </c>
      <c r="O92" t="s">
        <v>31</v>
      </c>
      <c r="P92" t="s">
        <v>22</v>
      </c>
      <c r="Q92" t="s">
        <v>29</v>
      </c>
      <c r="R92" t="s">
        <v>23</v>
      </c>
      <c r="S92" t="s">
        <v>23</v>
      </c>
      <c r="T92" t="s">
        <v>29</v>
      </c>
      <c r="U92" t="s">
        <v>29</v>
      </c>
      <c r="V92" t="s">
        <v>23</v>
      </c>
    </row>
    <row r="93" spans="1:22">
      <c r="A93" t="s">
        <v>129</v>
      </c>
      <c r="B93" s="21">
        <v>25</v>
      </c>
      <c r="C93" s="21">
        <v>18709</v>
      </c>
      <c r="D93" s="21">
        <v>444</v>
      </c>
      <c r="E93" t="str">
        <f>VLOOKUP(Table13[[#This Row],[Credit_Score]],Table4[],2,TRUE)</f>
        <v>High Risk</v>
      </c>
      <c r="F93">
        <v>0.18045761604531799</v>
      </c>
      <c r="G93" t="str">
        <f>IF(Table13[[#This Row],[Credit_Utilization]]&lt;0.3,"Low Utilization",
IF(Table13[[#This Row],[Credit_Utilization]]&lt;0.7,"Moderate Utilization",
"High Utilization"))</f>
        <v>Low Utilization</v>
      </c>
      <c r="H93" s="21">
        <v>6</v>
      </c>
      <c r="I93" s="21">
        <v>0</v>
      </c>
      <c r="J93" s="21">
        <v>44437</v>
      </c>
      <c r="K93">
        <v>0.23564693022955999</v>
      </c>
      <c r="L93" t="str">
        <f>IF(Table13[[#This Row],[Debt_to_Income_Ratio]]&lt;0.3,"Low DTI", IF(Table13[[#This Row],[Debt_to_Income_Ratio]]&lt;0.5,"Moderate DTI", "High DTI"))</f>
        <v>Low DTI</v>
      </c>
      <c r="M93" t="s">
        <v>43</v>
      </c>
      <c r="N93" s="21">
        <v>8</v>
      </c>
      <c r="O93" t="s">
        <v>45</v>
      </c>
      <c r="P93" t="s">
        <v>28</v>
      </c>
      <c r="Q93" t="s">
        <v>24</v>
      </c>
      <c r="R93" t="s">
        <v>23</v>
      </c>
      <c r="S93" t="s">
        <v>23</v>
      </c>
      <c r="T93" t="s">
        <v>29</v>
      </c>
      <c r="U93" t="s">
        <v>29</v>
      </c>
      <c r="V93" t="s">
        <v>23</v>
      </c>
    </row>
    <row r="94" spans="1:22">
      <c r="A94" t="s">
        <v>130</v>
      </c>
      <c r="B94" s="21">
        <v>31</v>
      </c>
      <c r="C94" s="21">
        <v>90353</v>
      </c>
      <c r="D94" s="21">
        <v>372</v>
      </c>
      <c r="E94" t="str">
        <f>VLOOKUP(Table13[[#This Row],[Credit_Score]],Table4[],2,TRUE)</f>
        <v>High Risk</v>
      </c>
      <c r="F94">
        <v>0.39674879681257402</v>
      </c>
      <c r="G94" t="str">
        <f>IF(Table13[[#This Row],[Credit_Utilization]]&lt;0.3,"Low Utilization",
IF(Table13[[#This Row],[Credit_Utilization]]&lt;0.7,"Moderate Utilization",
"High Utilization"))</f>
        <v>Moderate Utilization</v>
      </c>
      <c r="H94" s="21">
        <v>6</v>
      </c>
      <c r="I94" s="21">
        <v>0</v>
      </c>
      <c r="J94" s="21">
        <v>59192</v>
      </c>
      <c r="K94">
        <v>0.184346401516227</v>
      </c>
      <c r="L94" t="str">
        <f>IF(Table13[[#This Row],[Debt_to_Income_Ratio]]&lt;0.3,"Low DTI", IF(Table13[[#This Row],[Debt_to_Income_Ratio]]&lt;0.5,"Moderate DTI", "High DTI"))</f>
        <v>Low DTI</v>
      </c>
      <c r="M94" t="s">
        <v>50</v>
      </c>
      <c r="N94" s="21">
        <v>3</v>
      </c>
      <c r="O94" t="s">
        <v>27</v>
      </c>
      <c r="P94" t="s">
        <v>53</v>
      </c>
      <c r="Q94" t="s">
        <v>23</v>
      </c>
      <c r="R94" t="s">
        <v>23</v>
      </c>
      <c r="S94" t="s">
        <v>24</v>
      </c>
      <c r="T94" t="s">
        <v>29</v>
      </c>
      <c r="U94" t="s">
        <v>24</v>
      </c>
      <c r="V94" t="s">
        <v>29</v>
      </c>
    </row>
    <row r="95" spans="1:22">
      <c r="A95" t="s">
        <v>131</v>
      </c>
      <c r="B95" s="21">
        <v>40</v>
      </c>
      <c r="C95" s="21">
        <v>107658</v>
      </c>
      <c r="D95" s="21">
        <v>439</v>
      </c>
      <c r="E95" t="str">
        <f>VLOOKUP(Table13[[#This Row],[Credit_Score]],Table4[],2,TRUE)</f>
        <v>High Risk</v>
      </c>
      <c r="F95">
        <v>0.68635521948174105</v>
      </c>
      <c r="G95" t="str">
        <f>IF(Table13[[#This Row],[Credit_Utilization]]&lt;0.3,"Low Utilization",
IF(Table13[[#This Row],[Credit_Utilization]]&lt;0.7,"Moderate Utilization",
"High Utilization"))</f>
        <v>Moderate Utilization</v>
      </c>
      <c r="H95" s="21">
        <v>3</v>
      </c>
      <c r="I95" s="21">
        <v>0</v>
      </c>
      <c r="J95" s="21">
        <v>17401</v>
      </c>
      <c r="K95">
        <v>0.36058855479572699</v>
      </c>
      <c r="L95" t="str">
        <f>IF(Table13[[#This Row],[Debt_to_Income_Ratio]]&lt;0.3,"Low DTI", IF(Table13[[#This Row],[Debt_to_Income_Ratio]]&lt;0.5,"Moderate DTI", "High DTI"))</f>
        <v>Moderate DTI</v>
      </c>
      <c r="M95" t="s">
        <v>43</v>
      </c>
      <c r="N95" s="21">
        <v>14</v>
      </c>
      <c r="O95" t="s">
        <v>37</v>
      </c>
      <c r="P95" t="s">
        <v>53</v>
      </c>
      <c r="Q95" t="s">
        <v>29</v>
      </c>
      <c r="R95" t="s">
        <v>23</v>
      </c>
      <c r="S95" t="s">
        <v>24</v>
      </c>
      <c r="T95" t="s">
        <v>29</v>
      </c>
      <c r="U95" t="s">
        <v>29</v>
      </c>
      <c r="V95" t="s">
        <v>23</v>
      </c>
    </row>
    <row r="96" spans="1:22">
      <c r="A96" t="s">
        <v>132</v>
      </c>
      <c r="B96" s="21">
        <v>74</v>
      </c>
      <c r="C96" s="21">
        <v>35056</v>
      </c>
      <c r="D96" s="21">
        <v>648</v>
      </c>
      <c r="E96" t="str">
        <f>VLOOKUP(Table13[[#This Row],[Credit_Score]],Table4[],2,TRUE)</f>
        <v>Medium Risk</v>
      </c>
      <c r="F96">
        <v>0.34009221575346299</v>
      </c>
      <c r="G96" t="str">
        <f>IF(Table13[[#This Row],[Credit_Utilization]]&lt;0.3,"Low Utilization",
IF(Table13[[#This Row],[Credit_Utilization]]&lt;0.7,"Moderate Utilization",
"High Utilization"))</f>
        <v>Moderate Utilization</v>
      </c>
      <c r="H96" s="21">
        <v>3</v>
      </c>
      <c r="I96" s="21">
        <v>0</v>
      </c>
      <c r="J96" s="21">
        <v>67236</v>
      </c>
      <c r="K96">
        <v>0.41277120081948698</v>
      </c>
      <c r="L96" t="str">
        <f>IF(Table13[[#This Row],[Debt_to_Income_Ratio]]&lt;0.3,"Low DTI", IF(Table13[[#This Row],[Debt_to_Income_Ratio]]&lt;0.5,"Moderate DTI", "High DTI"))</f>
        <v>Moderate DTI</v>
      </c>
      <c r="M96" t="s">
        <v>34</v>
      </c>
      <c r="N96" s="21">
        <v>11</v>
      </c>
      <c r="O96" t="s">
        <v>45</v>
      </c>
      <c r="P96" t="s">
        <v>53</v>
      </c>
      <c r="Q96" t="s">
        <v>24</v>
      </c>
      <c r="R96" t="s">
        <v>23</v>
      </c>
      <c r="S96" t="s">
        <v>24</v>
      </c>
      <c r="T96" t="s">
        <v>24</v>
      </c>
      <c r="U96" t="s">
        <v>24</v>
      </c>
      <c r="V96" t="s">
        <v>29</v>
      </c>
    </row>
    <row r="97" spans="1:22">
      <c r="A97" t="s">
        <v>133</v>
      </c>
      <c r="B97" s="21">
        <v>57</v>
      </c>
      <c r="C97" s="21">
        <v>90353</v>
      </c>
      <c r="D97" s="21">
        <v>306</v>
      </c>
      <c r="E97" t="str">
        <f>VLOOKUP(Table13[[#This Row],[Credit_Score]],Table4[],2,TRUE)</f>
        <v>High Risk</v>
      </c>
      <c r="F97">
        <v>0.57030959176517704</v>
      </c>
      <c r="G97" t="str">
        <f>IF(Table13[[#This Row],[Credit_Utilization]]&lt;0.3,"Low Utilization",
IF(Table13[[#This Row],[Credit_Utilization]]&lt;0.7,"Moderate Utilization",
"High Utilization"))</f>
        <v>Moderate Utilization</v>
      </c>
      <c r="H97" s="21">
        <v>3</v>
      </c>
      <c r="I97" s="21">
        <v>0</v>
      </c>
      <c r="J97" s="21">
        <v>11251</v>
      </c>
      <c r="K97">
        <v>0.31785905173927997</v>
      </c>
      <c r="L97" t="str">
        <f>IF(Table13[[#This Row],[Debt_to_Income_Ratio]]&lt;0.3,"Low DTI", IF(Table13[[#This Row],[Debt_to_Income_Ratio]]&lt;0.5,"Moderate DTI", "High DTI"))</f>
        <v>Moderate DTI</v>
      </c>
      <c r="M97" t="s">
        <v>50</v>
      </c>
      <c r="N97" s="21">
        <v>2</v>
      </c>
      <c r="O97" t="s">
        <v>45</v>
      </c>
      <c r="P97" t="s">
        <v>38</v>
      </c>
      <c r="Q97" t="s">
        <v>29</v>
      </c>
      <c r="R97" t="s">
        <v>23</v>
      </c>
      <c r="S97" t="s">
        <v>24</v>
      </c>
      <c r="T97" t="s">
        <v>23</v>
      </c>
      <c r="U97" t="s">
        <v>24</v>
      </c>
      <c r="V97" t="s">
        <v>24</v>
      </c>
    </row>
    <row r="98" spans="1:22">
      <c r="A98" t="s">
        <v>134</v>
      </c>
      <c r="B98" s="21">
        <v>38</v>
      </c>
      <c r="C98" s="21">
        <v>121357</v>
      </c>
      <c r="D98" s="21">
        <v>742</v>
      </c>
      <c r="E98" t="str">
        <f>VLOOKUP(Table13[[#This Row],[Credit_Score]],Table4[],2,TRUE)</f>
        <v>Medium Risk</v>
      </c>
      <c r="F98">
        <v>0.69015926006722905</v>
      </c>
      <c r="G98" t="str">
        <f>IF(Table13[[#This Row],[Credit_Utilization]]&lt;0.3,"Low Utilization",
IF(Table13[[#This Row],[Credit_Utilization]]&lt;0.7,"Moderate Utilization",
"High Utilization"))</f>
        <v>Moderate Utilization</v>
      </c>
      <c r="H98" s="21">
        <v>5</v>
      </c>
      <c r="I98" s="21">
        <v>0</v>
      </c>
      <c r="J98" s="21">
        <v>8110</v>
      </c>
      <c r="K98">
        <v>0.15655346581503099</v>
      </c>
      <c r="L98" t="str">
        <f>IF(Table13[[#This Row],[Debt_to_Income_Ratio]]&lt;0.3,"Low DTI", IF(Table13[[#This Row],[Debt_to_Income_Ratio]]&lt;0.5,"Moderate DTI", "High DTI"))</f>
        <v>Low DTI</v>
      </c>
      <c r="M98" t="s">
        <v>26</v>
      </c>
      <c r="N98" s="21">
        <v>13</v>
      </c>
      <c r="O98" t="s">
        <v>27</v>
      </c>
      <c r="P98" t="s">
        <v>53</v>
      </c>
      <c r="Q98" t="s">
        <v>29</v>
      </c>
      <c r="R98" t="s">
        <v>29</v>
      </c>
      <c r="S98" t="s">
        <v>24</v>
      </c>
      <c r="T98" t="s">
        <v>24</v>
      </c>
      <c r="U98" t="s">
        <v>29</v>
      </c>
      <c r="V98" t="s">
        <v>29</v>
      </c>
    </row>
    <row r="99" spans="1:22">
      <c r="A99" t="s">
        <v>135</v>
      </c>
      <c r="B99" s="21">
        <v>33</v>
      </c>
      <c r="C99" s="21">
        <v>152326</v>
      </c>
      <c r="D99" s="21">
        <v>383</v>
      </c>
      <c r="E99" t="str">
        <f>VLOOKUP(Table13[[#This Row],[Credit_Score]],Table4[],2,TRUE)</f>
        <v>High Risk</v>
      </c>
      <c r="F99">
        <v>0.05</v>
      </c>
      <c r="G99" t="str">
        <f>IF(Table13[[#This Row],[Credit_Utilization]]&lt;0.3,"Low Utilization",
IF(Table13[[#This Row],[Credit_Utilization]]&lt;0.7,"Moderate Utilization",
"High Utilization"))</f>
        <v>Low Utilization</v>
      </c>
      <c r="H99" s="21">
        <v>3</v>
      </c>
      <c r="I99" s="21">
        <v>0</v>
      </c>
      <c r="J99" s="21">
        <v>10778</v>
      </c>
      <c r="K99">
        <v>0.19426671828252601</v>
      </c>
      <c r="L99" t="str">
        <f>IF(Table13[[#This Row],[Debt_to_Income_Ratio]]&lt;0.3,"Low DTI", IF(Table13[[#This Row],[Debt_to_Income_Ratio]]&lt;0.5,"Moderate DTI", "High DTI"))</f>
        <v>Low DTI</v>
      </c>
      <c r="M99" t="s">
        <v>34</v>
      </c>
      <c r="N99" s="21">
        <v>16</v>
      </c>
      <c r="O99" t="s">
        <v>31</v>
      </c>
      <c r="P99" t="s">
        <v>53</v>
      </c>
      <c r="Q99" t="s">
        <v>24</v>
      </c>
      <c r="R99" t="s">
        <v>23</v>
      </c>
      <c r="S99" t="s">
        <v>29</v>
      </c>
      <c r="T99" t="s">
        <v>29</v>
      </c>
      <c r="U99" t="s">
        <v>24</v>
      </c>
      <c r="V99" t="s">
        <v>29</v>
      </c>
    </row>
    <row r="100" spans="1:22">
      <c r="A100" t="s">
        <v>136</v>
      </c>
      <c r="B100" s="21">
        <v>62</v>
      </c>
      <c r="C100" s="21">
        <v>189197</v>
      </c>
      <c r="D100" s="21">
        <v>639</v>
      </c>
      <c r="E100" t="str">
        <f>VLOOKUP(Table13[[#This Row],[Credit_Score]],Table4[],2,TRUE)</f>
        <v>Medium Risk</v>
      </c>
      <c r="F100">
        <v>0.47839246004214903</v>
      </c>
      <c r="G100" t="str">
        <f>IF(Table13[[#This Row],[Credit_Utilization]]&lt;0.3,"Low Utilization",
IF(Table13[[#This Row],[Credit_Utilization]]&lt;0.7,"Moderate Utilization",
"High Utilization"))</f>
        <v>Moderate Utilization</v>
      </c>
      <c r="H100" s="21">
        <v>4</v>
      </c>
      <c r="I100" s="21">
        <v>1</v>
      </c>
      <c r="J100" s="21">
        <v>50183</v>
      </c>
      <c r="K100">
        <v>0.256787629067594</v>
      </c>
      <c r="L100" t="str">
        <f>IF(Table13[[#This Row],[Debt_to_Income_Ratio]]&lt;0.3,"Low DTI", IF(Table13[[#This Row],[Debt_to_Income_Ratio]]&lt;0.5,"Moderate DTI", "High DTI"))</f>
        <v>Low DTI</v>
      </c>
      <c r="M100" t="s">
        <v>43</v>
      </c>
      <c r="N100" s="21">
        <v>18</v>
      </c>
      <c r="O100" t="s">
        <v>37</v>
      </c>
      <c r="P100" t="s">
        <v>22</v>
      </c>
      <c r="Q100" t="s">
        <v>24</v>
      </c>
      <c r="R100" t="s">
        <v>23</v>
      </c>
      <c r="S100" t="s">
        <v>29</v>
      </c>
      <c r="T100" t="s">
        <v>24</v>
      </c>
      <c r="U100" t="s">
        <v>29</v>
      </c>
      <c r="V100" t="s">
        <v>23</v>
      </c>
    </row>
    <row r="101" spans="1:22">
      <c r="A101" t="s">
        <v>137</v>
      </c>
      <c r="B101" s="21">
        <v>35</v>
      </c>
      <c r="C101" s="21">
        <v>54298</v>
      </c>
      <c r="D101" s="21">
        <v>495</v>
      </c>
      <c r="E101" t="str">
        <f>VLOOKUP(Table13[[#This Row],[Credit_Score]],Table4[],2,TRUE)</f>
        <v>High Risk</v>
      </c>
      <c r="F101">
        <v>0.48624183071302401</v>
      </c>
      <c r="G101" t="str">
        <f>IF(Table13[[#This Row],[Credit_Utilization]]&lt;0.3,"Low Utilization",
IF(Table13[[#This Row],[Credit_Utilization]]&lt;0.7,"Moderate Utilization",
"High Utilization"))</f>
        <v>Moderate Utilization</v>
      </c>
      <c r="H101" s="21">
        <v>2</v>
      </c>
      <c r="I101" s="21">
        <v>0</v>
      </c>
      <c r="J101" s="21">
        <v>13355</v>
      </c>
      <c r="K101">
        <v>0.45646197411607498</v>
      </c>
      <c r="L101" t="str">
        <f>IF(Table13[[#This Row],[Debt_to_Income_Ratio]]&lt;0.3,"Low DTI", IF(Table13[[#This Row],[Debt_to_Income_Ratio]]&lt;0.5,"Moderate DTI", "High DTI"))</f>
        <v>Moderate DTI</v>
      </c>
      <c r="M101" t="s">
        <v>50</v>
      </c>
      <c r="N101" s="21">
        <v>5</v>
      </c>
      <c r="O101" t="s">
        <v>45</v>
      </c>
      <c r="P101" t="s">
        <v>32</v>
      </c>
      <c r="Q101" t="s">
        <v>23</v>
      </c>
      <c r="R101" t="s">
        <v>24</v>
      </c>
      <c r="S101" t="s">
        <v>24</v>
      </c>
      <c r="T101" t="s">
        <v>23</v>
      </c>
      <c r="U101" t="s">
        <v>23</v>
      </c>
      <c r="V101" t="s">
        <v>23</v>
      </c>
    </row>
    <row r="102" spans="1:22">
      <c r="A102" t="s">
        <v>138</v>
      </c>
      <c r="B102" s="21">
        <v>64</v>
      </c>
      <c r="C102" s="21">
        <v>106007</v>
      </c>
      <c r="D102" s="21">
        <v>820</v>
      </c>
      <c r="E102" t="str">
        <f>VLOOKUP(Table13[[#This Row],[Credit_Score]],Table4[],2,TRUE)</f>
        <v>Low Risk</v>
      </c>
      <c r="F102">
        <v>0.41758550886324203</v>
      </c>
      <c r="G102" t="str">
        <f>IF(Table13[[#This Row],[Credit_Utilization]]&lt;0.3,"Low Utilization",
IF(Table13[[#This Row],[Credit_Utilization]]&lt;0.7,"Moderate Utilization",
"High Utilization"))</f>
        <v>Moderate Utilization</v>
      </c>
      <c r="H102" s="21">
        <v>5</v>
      </c>
      <c r="I102" s="21">
        <v>0</v>
      </c>
      <c r="J102" s="21">
        <v>11061</v>
      </c>
      <c r="K102">
        <v>0.27532493379011203</v>
      </c>
      <c r="L102" t="str">
        <f>IF(Table13[[#This Row],[Debt_to_Income_Ratio]]&lt;0.3,"Low DTI", IF(Table13[[#This Row],[Debt_to_Income_Ratio]]&lt;0.5,"Moderate DTI", "High DTI"))</f>
        <v>Low DTI</v>
      </c>
      <c r="M102" t="s">
        <v>43</v>
      </c>
      <c r="N102" s="21">
        <v>3</v>
      </c>
      <c r="O102" t="s">
        <v>31</v>
      </c>
      <c r="P102" t="s">
        <v>53</v>
      </c>
      <c r="Q102" t="s">
        <v>29</v>
      </c>
      <c r="R102" t="s">
        <v>23</v>
      </c>
      <c r="S102" t="s">
        <v>24</v>
      </c>
      <c r="T102" t="s">
        <v>23</v>
      </c>
      <c r="U102" t="s">
        <v>23</v>
      </c>
      <c r="V102" t="s">
        <v>24</v>
      </c>
    </row>
    <row r="103" spans="1:22">
      <c r="A103" t="s">
        <v>139</v>
      </c>
      <c r="B103" s="21">
        <v>70</v>
      </c>
      <c r="C103" s="21">
        <v>155734</v>
      </c>
      <c r="D103" s="21">
        <v>563</v>
      </c>
      <c r="E103" t="str">
        <f>VLOOKUP(Table13[[#This Row],[Credit_Score]],Table4[],2,TRUE)</f>
        <v>High Risk</v>
      </c>
      <c r="F103">
        <v>0.56033902698920801</v>
      </c>
      <c r="G103" t="str">
        <f>IF(Table13[[#This Row],[Credit_Utilization]]&lt;0.3,"Low Utilization",
IF(Table13[[#This Row],[Credit_Utilization]]&lt;0.7,"Moderate Utilization",
"High Utilization"))</f>
        <v>Moderate Utilization</v>
      </c>
      <c r="H103" s="21">
        <v>3</v>
      </c>
      <c r="I103" s="21">
        <v>0</v>
      </c>
      <c r="J103" s="21">
        <v>79354</v>
      </c>
      <c r="K103">
        <v>0.25314310772018001</v>
      </c>
      <c r="L103" t="str">
        <f>IF(Table13[[#This Row],[Debt_to_Income_Ratio]]&lt;0.3,"Low DTI", IF(Table13[[#This Row],[Debt_to_Income_Ratio]]&lt;0.5,"Moderate DTI", "High DTI"))</f>
        <v>Low DTI</v>
      </c>
      <c r="M103" t="s">
        <v>26</v>
      </c>
      <c r="N103" s="21">
        <v>6</v>
      </c>
      <c r="O103" t="s">
        <v>37</v>
      </c>
      <c r="P103" t="s">
        <v>28</v>
      </c>
      <c r="Q103" t="s">
        <v>23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</row>
    <row r="104" spans="1:22">
      <c r="A104" t="s">
        <v>140</v>
      </c>
      <c r="B104" s="21">
        <v>41</v>
      </c>
      <c r="C104" s="21">
        <v>163216</v>
      </c>
      <c r="D104" s="21">
        <v>429</v>
      </c>
      <c r="E104" t="str">
        <f>VLOOKUP(Table13[[#This Row],[Credit_Score]],Table4[],2,TRUE)</f>
        <v>High Risk</v>
      </c>
      <c r="F104">
        <v>0.631503921499174</v>
      </c>
      <c r="G104" t="str">
        <f>IF(Table13[[#This Row],[Credit_Utilization]]&lt;0.3,"Low Utilization",
IF(Table13[[#This Row],[Credit_Utilization]]&lt;0.7,"Moderate Utilization",
"High Utilization"))</f>
        <v>Moderate Utilization</v>
      </c>
      <c r="H104" s="21">
        <v>1</v>
      </c>
      <c r="I104" s="21">
        <v>1</v>
      </c>
      <c r="J104" s="21">
        <v>45776</v>
      </c>
      <c r="K104">
        <v>0.132651520032388</v>
      </c>
      <c r="L104" t="str">
        <f>IF(Table13[[#This Row],[Debt_to_Income_Ratio]]&lt;0.3,"Low DTI", IF(Table13[[#This Row],[Debt_to_Income_Ratio]]&lt;0.5,"Moderate DTI", "High DTI"))</f>
        <v>Low DTI</v>
      </c>
      <c r="M104" t="s">
        <v>50</v>
      </c>
      <c r="N104" s="21">
        <v>18</v>
      </c>
      <c r="O104" t="s">
        <v>21</v>
      </c>
      <c r="P104" t="s">
        <v>53</v>
      </c>
      <c r="Q104" t="s">
        <v>23</v>
      </c>
      <c r="R104" t="s">
        <v>24</v>
      </c>
      <c r="S104" t="s">
        <v>23</v>
      </c>
      <c r="T104" t="s">
        <v>23</v>
      </c>
      <c r="U104" t="s">
        <v>24</v>
      </c>
      <c r="V104" t="s">
        <v>29</v>
      </c>
    </row>
    <row r="105" spans="1:22">
      <c r="A105" t="s">
        <v>141</v>
      </c>
      <c r="B105" s="21">
        <v>43</v>
      </c>
      <c r="C105" s="21">
        <v>107658</v>
      </c>
      <c r="D105" s="21">
        <v>679</v>
      </c>
      <c r="E105" t="str">
        <f>VLOOKUP(Table13[[#This Row],[Credit_Score]],Table4[],2,TRUE)</f>
        <v>Medium Risk</v>
      </c>
      <c r="F105">
        <v>0.52841018886492097</v>
      </c>
      <c r="G105" t="str">
        <f>IF(Table13[[#This Row],[Credit_Utilization]]&lt;0.3,"Low Utilization",
IF(Table13[[#This Row],[Credit_Utilization]]&lt;0.7,"Moderate Utilization",
"High Utilization"))</f>
        <v>Moderate Utilization</v>
      </c>
      <c r="H105" s="21">
        <v>1</v>
      </c>
      <c r="I105" s="21">
        <v>0</v>
      </c>
      <c r="J105" s="21">
        <v>60628</v>
      </c>
      <c r="K105">
        <v>0.23433152098898799</v>
      </c>
      <c r="L105" t="str">
        <f>IF(Table13[[#This Row],[Debt_to_Income_Ratio]]&lt;0.3,"Low DTI", IF(Table13[[#This Row],[Debt_to_Income_Ratio]]&lt;0.5,"Moderate DTI", "High DTI"))</f>
        <v>Low DTI</v>
      </c>
      <c r="M105" t="s">
        <v>43</v>
      </c>
      <c r="N105" s="21">
        <v>16</v>
      </c>
      <c r="O105" t="s">
        <v>21</v>
      </c>
      <c r="P105" t="s">
        <v>38</v>
      </c>
      <c r="Q105" t="s">
        <v>23</v>
      </c>
      <c r="R105" t="s">
        <v>29</v>
      </c>
      <c r="S105" t="s">
        <v>23</v>
      </c>
      <c r="T105" t="s">
        <v>23</v>
      </c>
      <c r="U105" t="s">
        <v>24</v>
      </c>
      <c r="V105" t="s">
        <v>24</v>
      </c>
    </row>
    <row r="106" spans="1:22">
      <c r="A106" t="s">
        <v>142</v>
      </c>
      <c r="B106" s="21">
        <v>42</v>
      </c>
      <c r="C106" s="21">
        <v>178165</v>
      </c>
      <c r="D106" s="21">
        <v>383</v>
      </c>
      <c r="E106" t="str">
        <f>VLOOKUP(Table13[[#This Row],[Credit_Score]],Table4[],2,TRUE)</f>
        <v>High Risk</v>
      </c>
      <c r="F106">
        <v>0.42523452119011301</v>
      </c>
      <c r="G106" t="str">
        <f>IF(Table13[[#This Row],[Credit_Utilization]]&lt;0.3,"Low Utilization",
IF(Table13[[#This Row],[Credit_Utilization]]&lt;0.7,"Moderate Utilization",
"High Utilization"))</f>
        <v>Moderate Utilization</v>
      </c>
      <c r="H106" s="21">
        <v>2</v>
      </c>
      <c r="I106" s="21">
        <v>0</v>
      </c>
      <c r="J106" s="21">
        <v>45776</v>
      </c>
      <c r="K106">
        <v>0.17670636460091599</v>
      </c>
      <c r="L106" t="str">
        <f>IF(Table13[[#This Row],[Debt_to_Income_Ratio]]&lt;0.3,"Low DTI", IF(Table13[[#This Row],[Debt_to_Income_Ratio]]&lt;0.5,"Moderate DTI", "High DTI"))</f>
        <v>Low DTI</v>
      </c>
      <c r="M106" t="s">
        <v>26</v>
      </c>
      <c r="N106" s="21">
        <v>15</v>
      </c>
      <c r="O106" t="s">
        <v>37</v>
      </c>
      <c r="P106" t="s">
        <v>38</v>
      </c>
      <c r="Q106" t="s">
        <v>24</v>
      </c>
      <c r="R106" t="s">
        <v>29</v>
      </c>
      <c r="S106" t="s">
        <v>24</v>
      </c>
      <c r="T106" t="s">
        <v>29</v>
      </c>
      <c r="U106" t="s">
        <v>29</v>
      </c>
      <c r="V106" t="s">
        <v>23</v>
      </c>
    </row>
    <row r="107" spans="1:22">
      <c r="A107" t="s">
        <v>143</v>
      </c>
      <c r="B107" s="21">
        <v>62</v>
      </c>
      <c r="C107" s="21">
        <v>99076</v>
      </c>
      <c r="D107" s="21">
        <v>340</v>
      </c>
      <c r="E107" t="str">
        <f>VLOOKUP(Table13[[#This Row],[Credit_Score]],Table4[],2,TRUE)</f>
        <v>High Risk</v>
      </c>
      <c r="F107">
        <v>0.62652425995685301</v>
      </c>
      <c r="G107" t="str">
        <f>IF(Table13[[#This Row],[Credit_Utilization]]&lt;0.3,"Low Utilization",
IF(Table13[[#This Row],[Credit_Utilization]]&lt;0.7,"Moderate Utilization",
"High Utilization"))</f>
        <v>Moderate Utilization</v>
      </c>
      <c r="H107" s="21">
        <v>6</v>
      </c>
      <c r="I107" s="21">
        <v>0</v>
      </c>
      <c r="J107" s="21">
        <v>30443</v>
      </c>
      <c r="K107">
        <v>0.199682016907719</v>
      </c>
      <c r="L107" t="str">
        <f>IF(Table13[[#This Row],[Debt_to_Income_Ratio]]&lt;0.3,"Low DTI", IF(Table13[[#This Row],[Debt_to_Income_Ratio]]&lt;0.5,"Moderate DTI", "High DTI"))</f>
        <v>Low DTI</v>
      </c>
      <c r="M107" t="s">
        <v>50</v>
      </c>
      <c r="N107" s="21">
        <v>14</v>
      </c>
      <c r="O107" t="s">
        <v>27</v>
      </c>
      <c r="P107" t="s">
        <v>38</v>
      </c>
      <c r="Q107" t="s">
        <v>23</v>
      </c>
      <c r="R107" t="s">
        <v>23</v>
      </c>
      <c r="S107" t="s">
        <v>23</v>
      </c>
      <c r="T107" t="s">
        <v>24</v>
      </c>
      <c r="U107" t="s">
        <v>24</v>
      </c>
      <c r="V107" t="s">
        <v>24</v>
      </c>
    </row>
    <row r="108" spans="1:22">
      <c r="A108" t="s">
        <v>144</v>
      </c>
      <c r="B108" s="21">
        <v>58</v>
      </c>
      <c r="C108" s="21">
        <v>117023</v>
      </c>
      <c r="D108" s="21">
        <v>339</v>
      </c>
      <c r="E108" t="str">
        <f>VLOOKUP(Table13[[#This Row],[Credit_Score]],Table4[],2,TRUE)</f>
        <v>High Risk</v>
      </c>
      <c r="F108">
        <v>0.509810681854871</v>
      </c>
      <c r="G108" t="str">
        <f>IF(Table13[[#This Row],[Credit_Utilization]]&lt;0.3,"Low Utilization",
IF(Table13[[#This Row],[Credit_Utilization]]&lt;0.7,"Moderate Utilization",
"High Utilization"))</f>
        <v>Moderate Utilization</v>
      </c>
      <c r="H108" s="21">
        <v>0</v>
      </c>
      <c r="I108" s="21">
        <v>0</v>
      </c>
      <c r="J108" s="21">
        <v>42556</v>
      </c>
      <c r="K108">
        <v>0.31199506801587401</v>
      </c>
      <c r="L108" t="str">
        <f>IF(Table13[[#This Row],[Debt_to_Income_Ratio]]&lt;0.3,"Low DTI", IF(Table13[[#This Row],[Debt_to_Income_Ratio]]&lt;0.5,"Moderate DTI", "High DTI"))</f>
        <v>Moderate DTI</v>
      </c>
      <c r="M108" t="s">
        <v>43</v>
      </c>
      <c r="N108" s="21">
        <v>7</v>
      </c>
      <c r="O108" t="s">
        <v>37</v>
      </c>
      <c r="P108" t="s">
        <v>53</v>
      </c>
      <c r="Q108" t="s">
        <v>29</v>
      </c>
      <c r="R108" t="s">
        <v>29</v>
      </c>
      <c r="S108" t="s">
        <v>23</v>
      </c>
      <c r="T108" t="s">
        <v>23</v>
      </c>
      <c r="U108" t="s">
        <v>23</v>
      </c>
      <c r="V108" t="s">
        <v>29</v>
      </c>
    </row>
    <row r="109" spans="1:22">
      <c r="A109" t="s">
        <v>145</v>
      </c>
      <c r="B109" s="21">
        <v>46</v>
      </c>
      <c r="C109" s="21">
        <v>127816</v>
      </c>
      <c r="D109" s="21">
        <v>820</v>
      </c>
      <c r="E109" t="str">
        <f>VLOOKUP(Table13[[#This Row],[Credit_Score]],Table4[],2,TRUE)</f>
        <v>Low Risk</v>
      </c>
      <c r="F109">
        <v>0.45385991736090397</v>
      </c>
      <c r="G109" t="str">
        <f>IF(Table13[[#This Row],[Credit_Utilization]]&lt;0.3,"Low Utilization",
IF(Table13[[#This Row],[Credit_Utilization]]&lt;0.7,"Moderate Utilization",
"High Utilization"))</f>
        <v>Moderate Utilization</v>
      </c>
      <c r="H109" s="21">
        <v>0</v>
      </c>
      <c r="I109" s="21">
        <v>0</v>
      </c>
      <c r="J109" s="21">
        <v>94000</v>
      </c>
      <c r="K109">
        <v>0.25988357943888202</v>
      </c>
      <c r="L109" t="str">
        <f>IF(Table13[[#This Row],[Debt_to_Income_Ratio]]&lt;0.3,"Low DTI", IF(Table13[[#This Row],[Debt_to_Income_Ratio]]&lt;0.5,"Moderate DTI", "High DTI"))</f>
        <v>Low DTI</v>
      </c>
      <c r="M109" t="s">
        <v>26</v>
      </c>
      <c r="N109" s="21">
        <v>18</v>
      </c>
      <c r="O109" t="s">
        <v>37</v>
      </c>
      <c r="P109" t="s">
        <v>22</v>
      </c>
      <c r="Q109" t="s">
        <v>24</v>
      </c>
      <c r="R109" t="s">
        <v>24</v>
      </c>
      <c r="S109" t="s">
        <v>23</v>
      </c>
      <c r="T109" t="s">
        <v>29</v>
      </c>
      <c r="U109" t="s">
        <v>29</v>
      </c>
      <c r="V109" t="s">
        <v>24</v>
      </c>
    </row>
    <row r="110" spans="1:22">
      <c r="A110" t="s">
        <v>146</v>
      </c>
      <c r="B110" s="21">
        <v>32</v>
      </c>
      <c r="C110" s="21">
        <v>19748</v>
      </c>
      <c r="D110" s="21">
        <v>354</v>
      </c>
      <c r="E110" t="str">
        <f>VLOOKUP(Table13[[#This Row],[Credit_Score]],Table4[],2,TRUE)</f>
        <v>High Risk</v>
      </c>
      <c r="F110">
        <v>0.237544122932216</v>
      </c>
      <c r="G110" t="str">
        <f>IF(Table13[[#This Row],[Credit_Utilization]]&lt;0.3,"Low Utilization",
IF(Table13[[#This Row],[Credit_Utilization]]&lt;0.7,"Moderate Utilization",
"High Utilization"))</f>
        <v>Low Utilization</v>
      </c>
      <c r="H110" s="21">
        <v>6</v>
      </c>
      <c r="I110" s="21">
        <v>0</v>
      </c>
      <c r="J110" s="21">
        <v>29584</v>
      </c>
      <c r="K110">
        <v>0.469949445267134</v>
      </c>
      <c r="L110" t="str">
        <f>IF(Table13[[#This Row],[Debt_to_Income_Ratio]]&lt;0.3,"Low DTI", IF(Table13[[#This Row],[Debt_to_Income_Ratio]]&lt;0.5,"Moderate DTI", "High DTI"))</f>
        <v>Moderate DTI</v>
      </c>
      <c r="M110" t="s">
        <v>43</v>
      </c>
      <c r="N110" s="21">
        <v>7</v>
      </c>
      <c r="O110" t="s">
        <v>27</v>
      </c>
      <c r="P110" t="s">
        <v>28</v>
      </c>
      <c r="Q110" t="s">
        <v>24</v>
      </c>
      <c r="R110" t="s">
        <v>23</v>
      </c>
      <c r="S110" t="s">
        <v>29</v>
      </c>
      <c r="T110" t="s">
        <v>23</v>
      </c>
      <c r="U110" t="s">
        <v>24</v>
      </c>
      <c r="V110" t="s">
        <v>23</v>
      </c>
    </row>
    <row r="111" spans="1:22">
      <c r="A111" t="s">
        <v>147</v>
      </c>
      <c r="B111" s="21">
        <v>62</v>
      </c>
      <c r="C111" s="21">
        <v>170026</v>
      </c>
      <c r="D111" s="21">
        <v>523</v>
      </c>
      <c r="E111" t="str">
        <f>VLOOKUP(Table13[[#This Row],[Credit_Score]],Table4[],2,TRUE)</f>
        <v>High Risk</v>
      </c>
      <c r="F111">
        <v>0.18746904294678399</v>
      </c>
      <c r="G111" t="str">
        <f>IF(Table13[[#This Row],[Credit_Utilization]]&lt;0.3,"Low Utilization",
IF(Table13[[#This Row],[Credit_Utilization]]&lt;0.7,"Moderate Utilization",
"High Utilization"))</f>
        <v>Low Utilization</v>
      </c>
      <c r="H111" s="21">
        <v>5</v>
      </c>
      <c r="I111" s="21">
        <v>0</v>
      </c>
      <c r="J111" s="21">
        <v>64950</v>
      </c>
      <c r="K111">
        <v>0.40780033727074699</v>
      </c>
      <c r="L111" t="str">
        <f>IF(Table13[[#This Row],[Debt_to_Income_Ratio]]&lt;0.3,"Low DTI", IF(Table13[[#This Row],[Debt_to_Income_Ratio]]&lt;0.5,"Moderate DTI", "High DTI"))</f>
        <v>Moderate DTI</v>
      </c>
      <c r="M111" t="s">
        <v>43</v>
      </c>
      <c r="N111" s="21">
        <v>17</v>
      </c>
      <c r="O111" t="s">
        <v>27</v>
      </c>
      <c r="P111" t="s">
        <v>53</v>
      </c>
      <c r="Q111" t="s">
        <v>24</v>
      </c>
      <c r="R111" t="s">
        <v>24</v>
      </c>
      <c r="S111" t="s">
        <v>29</v>
      </c>
      <c r="T111" t="s">
        <v>23</v>
      </c>
      <c r="U111" t="s">
        <v>29</v>
      </c>
      <c r="V111" t="s">
        <v>29</v>
      </c>
    </row>
    <row r="112" spans="1:22">
      <c r="A112" t="s">
        <v>148</v>
      </c>
      <c r="B112" s="21">
        <v>18</v>
      </c>
      <c r="C112" s="21">
        <v>43732</v>
      </c>
      <c r="D112" s="21">
        <v>474</v>
      </c>
      <c r="E112" t="str">
        <f>VLOOKUP(Table13[[#This Row],[Credit_Score]],Table4[],2,TRUE)</f>
        <v>High Risk</v>
      </c>
      <c r="F112">
        <v>0.23375404145718501</v>
      </c>
      <c r="G112" t="str">
        <f>IF(Table13[[#This Row],[Credit_Utilization]]&lt;0.3,"Low Utilization",
IF(Table13[[#This Row],[Credit_Utilization]]&lt;0.7,"Moderate Utilization",
"High Utilization"))</f>
        <v>Low Utilization</v>
      </c>
      <c r="H112" s="21">
        <v>5</v>
      </c>
      <c r="I112" s="21">
        <v>0</v>
      </c>
      <c r="J112" s="21">
        <v>76774</v>
      </c>
      <c r="K112">
        <v>0.23911160621896599</v>
      </c>
      <c r="L112" t="str">
        <f>IF(Table13[[#This Row],[Debt_to_Income_Ratio]]&lt;0.3,"Low DTI", IF(Table13[[#This Row],[Debt_to_Income_Ratio]]&lt;0.5,"Moderate DTI", "High DTI"))</f>
        <v>Low DTI</v>
      </c>
      <c r="M112" t="s">
        <v>26</v>
      </c>
      <c r="N112" s="21">
        <v>15</v>
      </c>
      <c r="O112" t="s">
        <v>31</v>
      </c>
      <c r="P112" t="s">
        <v>22</v>
      </c>
      <c r="Q112" t="s">
        <v>24</v>
      </c>
      <c r="R112" t="s">
        <v>24</v>
      </c>
      <c r="S112" t="s">
        <v>29</v>
      </c>
      <c r="T112" t="s">
        <v>23</v>
      </c>
      <c r="U112" t="s">
        <v>23</v>
      </c>
      <c r="V112" t="s">
        <v>23</v>
      </c>
    </row>
    <row r="113" spans="1:22">
      <c r="A113" t="s">
        <v>149</v>
      </c>
      <c r="B113" s="21">
        <v>42</v>
      </c>
      <c r="C113" s="21">
        <v>16015</v>
      </c>
      <c r="D113" s="21">
        <v>332</v>
      </c>
      <c r="E113" t="str">
        <f>VLOOKUP(Table13[[#This Row],[Credit_Score]],Table4[],2,TRUE)</f>
        <v>High Risk</v>
      </c>
      <c r="F113">
        <v>0.55566581224404299</v>
      </c>
      <c r="G113" t="str">
        <f>IF(Table13[[#This Row],[Credit_Utilization]]&lt;0.3,"Low Utilization",
IF(Table13[[#This Row],[Credit_Utilization]]&lt;0.7,"Moderate Utilization",
"High Utilization"))</f>
        <v>Moderate Utilization</v>
      </c>
      <c r="H113" s="21">
        <v>5</v>
      </c>
      <c r="I113" s="21">
        <v>0</v>
      </c>
      <c r="J113" s="21">
        <v>8828</v>
      </c>
      <c r="K113">
        <v>0.20831821582594801</v>
      </c>
      <c r="L113" t="str">
        <f>IF(Table13[[#This Row],[Debt_to_Income_Ratio]]&lt;0.3,"Low DTI", IF(Table13[[#This Row],[Debt_to_Income_Ratio]]&lt;0.5,"Moderate DTI", "High DTI"))</f>
        <v>Low DTI</v>
      </c>
      <c r="M113" t="s">
        <v>26</v>
      </c>
      <c r="N113" s="21">
        <v>19</v>
      </c>
      <c r="O113" t="s">
        <v>31</v>
      </c>
      <c r="P113" t="s">
        <v>22</v>
      </c>
      <c r="Q113" t="s">
        <v>23</v>
      </c>
      <c r="R113" t="s">
        <v>24</v>
      </c>
      <c r="S113" t="s">
        <v>23</v>
      </c>
      <c r="T113" t="s">
        <v>23</v>
      </c>
      <c r="U113" t="s">
        <v>23</v>
      </c>
      <c r="V113" t="s">
        <v>29</v>
      </c>
    </row>
    <row r="114" spans="1:22">
      <c r="A114" t="s">
        <v>150</v>
      </c>
      <c r="B114" s="21">
        <v>24</v>
      </c>
      <c r="C114" s="21">
        <v>153311</v>
      </c>
      <c r="D114" s="21">
        <v>475</v>
      </c>
      <c r="E114" t="str">
        <f>VLOOKUP(Table13[[#This Row],[Credit_Score]],Table4[],2,TRUE)</f>
        <v>High Risk</v>
      </c>
      <c r="F114">
        <v>0.48418425047872898</v>
      </c>
      <c r="G114" t="str">
        <f>IF(Table13[[#This Row],[Credit_Utilization]]&lt;0.3,"Low Utilization",
IF(Table13[[#This Row],[Credit_Utilization]]&lt;0.7,"Moderate Utilization",
"High Utilization"))</f>
        <v>Moderate Utilization</v>
      </c>
      <c r="H114" s="21">
        <v>0</v>
      </c>
      <c r="I114" s="21">
        <v>1</v>
      </c>
      <c r="J114" s="21">
        <v>692</v>
      </c>
      <c r="K114">
        <v>0.43826419356641899</v>
      </c>
      <c r="L114" t="str">
        <f>IF(Table13[[#This Row],[Debt_to_Income_Ratio]]&lt;0.3,"Low DTI", IF(Table13[[#This Row],[Debt_to_Income_Ratio]]&lt;0.5,"Moderate DTI", "High DTI"))</f>
        <v>Moderate DTI</v>
      </c>
      <c r="M114" t="s">
        <v>43</v>
      </c>
      <c r="N114" s="21">
        <v>18</v>
      </c>
      <c r="O114" t="s">
        <v>27</v>
      </c>
      <c r="P114" t="s">
        <v>53</v>
      </c>
      <c r="Q114" t="s">
        <v>24</v>
      </c>
      <c r="R114" t="s">
        <v>23</v>
      </c>
      <c r="S114" t="s">
        <v>23</v>
      </c>
      <c r="T114" t="s">
        <v>23</v>
      </c>
      <c r="U114" t="s">
        <v>24</v>
      </c>
      <c r="V114" t="s">
        <v>29</v>
      </c>
    </row>
    <row r="115" spans="1:22">
      <c r="A115" t="s">
        <v>151</v>
      </c>
      <c r="B115" s="21">
        <v>26</v>
      </c>
      <c r="C115" s="21">
        <v>107658</v>
      </c>
      <c r="D115" s="21">
        <v>725</v>
      </c>
      <c r="E115" t="str">
        <f>VLOOKUP(Table13[[#This Row],[Credit_Score]],Table4[],2,TRUE)</f>
        <v>Medium Risk</v>
      </c>
      <c r="F115">
        <v>0.203943180358507</v>
      </c>
      <c r="G115" t="str">
        <f>IF(Table13[[#This Row],[Credit_Utilization]]&lt;0.3,"Low Utilization",
IF(Table13[[#This Row],[Credit_Utilization]]&lt;0.7,"Moderate Utilization",
"High Utilization"))</f>
        <v>Low Utilization</v>
      </c>
      <c r="H115" s="21">
        <v>1</v>
      </c>
      <c r="I115" s="21">
        <v>0</v>
      </c>
      <c r="J115" s="21">
        <v>77743</v>
      </c>
      <c r="K115">
        <v>0.46600424894834802</v>
      </c>
      <c r="L115" t="str">
        <f>IF(Table13[[#This Row],[Debt_to_Income_Ratio]]&lt;0.3,"Low DTI", IF(Table13[[#This Row],[Debt_to_Income_Ratio]]&lt;0.5,"Moderate DTI", "High DTI"))</f>
        <v>Moderate DTI</v>
      </c>
      <c r="M115" t="s">
        <v>43</v>
      </c>
      <c r="N115" s="21">
        <v>9</v>
      </c>
      <c r="O115" t="s">
        <v>21</v>
      </c>
      <c r="P115" t="s">
        <v>53</v>
      </c>
      <c r="Q115" t="s">
        <v>29</v>
      </c>
      <c r="R115" t="s">
        <v>23</v>
      </c>
      <c r="S115" t="s">
        <v>23</v>
      </c>
      <c r="T115" t="s">
        <v>23</v>
      </c>
      <c r="U115" t="s">
        <v>29</v>
      </c>
      <c r="V115" t="s">
        <v>29</v>
      </c>
    </row>
    <row r="116" spans="1:22">
      <c r="A116" t="s">
        <v>152</v>
      </c>
      <c r="B116" s="21">
        <v>41</v>
      </c>
      <c r="C116" s="21">
        <v>138961</v>
      </c>
      <c r="D116" s="21">
        <v>826</v>
      </c>
      <c r="E116" t="str">
        <f>VLOOKUP(Table13[[#This Row],[Credit_Score]],Table4[],2,TRUE)</f>
        <v>Low Risk</v>
      </c>
      <c r="F116">
        <v>0.62918356515876195</v>
      </c>
      <c r="G116" t="str">
        <f>IF(Table13[[#This Row],[Credit_Utilization]]&lt;0.3,"Low Utilization",
IF(Table13[[#This Row],[Credit_Utilization]]&lt;0.7,"Moderate Utilization",
"High Utilization"))</f>
        <v>Moderate Utilization</v>
      </c>
      <c r="H116" s="21">
        <v>0</v>
      </c>
      <c r="I116" s="21">
        <v>0</v>
      </c>
      <c r="J116" s="21">
        <v>32588</v>
      </c>
      <c r="K116">
        <v>0.1</v>
      </c>
      <c r="L116" t="str">
        <f>IF(Table13[[#This Row],[Debt_to_Income_Ratio]]&lt;0.3,"Low DTI", IF(Table13[[#This Row],[Debt_to_Income_Ratio]]&lt;0.5,"Moderate DTI", "High DTI"))</f>
        <v>Low DTI</v>
      </c>
      <c r="M116" t="s">
        <v>26</v>
      </c>
      <c r="N116" s="21">
        <v>16</v>
      </c>
      <c r="O116" t="s">
        <v>21</v>
      </c>
      <c r="P116" t="s">
        <v>22</v>
      </c>
      <c r="Q116" t="s">
        <v>29</v>
      </c>
      <c r="R116" t="s">
        <v>29</v>
      </c>
      <c r="S116" t="s">
        <v>24</v>
      </c>
      <c r="T116" t="s">
        <v>23</v>
      </c>
      <c r="U116" t="s">
        <v>24</v>
      </c>
      <c r="V116" t="s">
        <v>23</v>
      </c>
    </row>
    <row r="117" spans="1:22">
      <c r="A117" t="s">
        <v>153</v>
      </c>
      <c r="B117" s="21">
        <v>18</v>
      </c>
      <c r="C117" s="21">
        <v>121884</v>
      </c>
      <c r="D117" s="21">
        <v>586</v>
      </c>
      <c r="E117" t="str">
        <f>VLOOKUP(Table13[[#This Row],[Credit_Score]],Table4[],2,TRUE)</f>
        <v>High Risk</v>
      </c>
      <c r="F117">
        <v>0.774861902635819</v>
      </c>
      <c r="G117" t="str">
        <f>IF(Table13[[#This Row],[Credit_Utilization]]&lt;0.3,"Low Utilization",
IF(Table13[[#This Row],[Credit_Utilization]]&lt;0.7,"Moderate Utilization",
"High Utilization"))</f>
        <v>High Utilization</v>
      </c>
      <c r="H117" s="21">
        <v>4</v>
      </c>
      <c r="I117" s="21">
        <v>0</v>
      </c>
      <c r="J117" s="21">
        <v>45776</v>
      </c>
      <c r="K117">
        <v>0.30928576239716998</v>
      </c>
      <c r="L117" t="str">
        <f>IF(Table13[[#This Row],[Debt_to_Income_Ratio]]&lt;0.3,"Low DTI", IF(Table13[[#This Row],[Debt_to_Income_Ratio]]&lt;0.5,"Moderate DTI", "High DTI"))</f>
        <v>Moderate DTI</v>
      </c>
      <c r="M117" t="s">
        <v>50</v>
      </c>
      <c r="N117" s="21">
        <v>12</v>
      </c>
      <c r="O117" t="s">
        <v>37</v>
      </c>
      <c r="P117" t="s">
        <v>22</v>
      </c>
      <c r="Q117" t="s">
        <v>29</v>
      </c>
      <c r="R117" t="s">
        <v>23</v>
      </c>
      <c r="S117" t="s">
        <v>23</v>
      </c>
      <c r="T117" t="s">
        <v>23</v>
      </c>
      <c r="U117" t="s">
        <v>24</v>
      </c>
      <c r="V117" t="s">
        <v>23</v>
      </c>
    </row>
    <row r="118" spans="1:22">
      <c r="A118" t="s">
        <v>154</v>
      </c>
      <c r="B118" s="21">
        <v>61</v>
      </c>
      <c r="C118" s="21">
        <v>19835</v>
      </c>
      <c r="D118" s="21">
        <v>629</v>
      </c>
      <c r="E118" t="str">
        <f>VLOOKUP(Table13[[#This Row],[Credit_Score]],Table4[],2,TRUE)</f>
        <v>Medium Risk</v>
      </c>
      <c r="F118">
        <v>0.38030127665673202</v>
      </c>
      <c r="G118" t="str">
        <f>IF(Table13[[#This Row],[Credit_Utilization]]&lt;0.3,"Low Utilization",
IF(Table13[[#This Row],[Credit_Utilization]]&lt;0.7,"Moderate Utilization",
"High Utilization"))</f>
        <v>Moderate Utilization</v>
      </c>
      <c r="H118" s="21">
        <v>3</v>
      </c>
      <c r="I118" s="21">
        <v>1</v>
      </c>
      <c r="J118" s="21">
        <v>55980</v>
      </c>
      <c r="K118">
        <v>0.27481216921032697</v>
      </c>
      <c r="L118" t="str">
        <f>IF(Table13[[#This Row],[Debt_to_Income_Ratio]]&lt;0.3,"Low DTI", IF(Table13[[#This Row],[Debt_to_Income_Ratio]]&lt;0.5,"Moderate DTI", "High DTI"))</f>
        <v>Low DTI</v>
      </c>
      <c r="M118" t="s">
        <v>34</v>
      </c>
      <c r="N118" s="21">
        <v>12</v>
      </c>
      <c r="O118" t="s">
        <v>45</v>
      </c>
      <c r="P118" t="s">
        <v>22</v>
      </c>
      <c r="Q118" t="s">
        <v>23</v>
      </c>
      <c r="R118" t="s">
        <v>23</v>
      </c>
      <c r="S118" t="s">
        <v>24</v>
      </c>
      <c r="T118" t="s">
        <v>24</v>
      </c>
      <c r="U118" t="s">
        <v>24</v>
      </c>
      <c r="V118" t="s">
        <v>24</v>
      </c>
    </row>
    <row r="119" spans="1:22">
      <c r="A119" t="s">
        <v>155</v>
      </c>
      <c r="B119" s="21">
        <v>25</v>
      </c>
      <c r="C119" s="21">
        <v>84724</v>
      </c>
      <c r="D119" s="21">
        <v>655</v>
      </c>
      <c r="E119" t="str">
        <f>VLOOKUP(Table13[[#This Row],[Credit_Score]],Table4[],2,TRUE)</f>
        <v>Medium Risk</v>
      </c>
      <c r="F119">
        <v>0.15180362852632501</v>
      </c>
      <c r="G119" t="str">
        <f>IF(Table13[[#This Row],[Credit_Utilization]]&lt;0.3,"Low Utilization",
IF(Table13[[#This Row],[Credit_Utilization]]&lt;0.7,"Moderate Utilization",
"High Utilization"))</f>
        <v>Low Utilization</v>
      </c>
      <c r="H119" s="21">
        <v>5</v>
      </c>
      <c r="I119" s="21">
        <v>0</v>
      </c>
      <c r="J119" s="21">
        <v>22510</v>
      </c>
      <c r="K119">
        <v>0.36491201400599299</v>
      </c>
      <c r="L119" t="str">
        <f>IF(Table13[[#This Row],[Debt_to_Income_Ratio]]&lt;0.3,"Low DTI", IF(Table13[[#This Row],[Debt_to_Income_Ratio]]&lt;0.5,"Moderate DTI", "High DTI"))</f>
        <v>Moderate DTI</v>
      </c>
      <c r="M119" t="s">
        <v>43</v>
      </c>
      <c r="N119" s="21">
        <v>6</v>
      </c>
      <c r="O119" t="s">
        <v>37</v>
      </c>
      <c r="P119" t="s">
        <v>53</v>
      </c>
      <c r="Q119" t="s">
        <v>23</v>
      </c>
      <c r="R119" t="s">
        <v>23</v>
      </c>
      <c r="S119" t="s">
        <v>29</v>
      </c>
      <c r="T119" t="s">
        <v>23</v>
      </c>
      <c r="U119" t="s">
        <v>29</v>
      </c>
      <c r="V119" t="s">
        <v>23</v>
      </c>
    </row>
    <row r="120" spans="1:22">
      <c r="A120" t="s">
        <v>156</v>
      </c>
      <c r="B120" s="21">
        <v>41</v>
      </c>
      <c r="C120" s="21">
        <v>125448</v>
      </c>
      <c r="D120" s="21">
        <v>644</v>
      </c>
      <c r="E120" t="str">
        <f>VLOOKUP(Table13[[#This Row],[Credit_Score]],Table4[],2,TRUE)</f>
        <v>Medium Risk</v>
      </c>
      <c r="F120">
        <v>0.358174723019617</v>
      </c>
      <c r="G120" t="str">
        <f>IF(Table13[[#This Row],[Credit_Utilization]]&lt;0.3,"Low Utilization",
IF(Table13[[#This Row],[Credit_Utilization]]&lt;0.7,"Moderate Utilization",
"High Utilization"))</f>
        <v>Moderate Utilization</v>
      </c>
      <c r="H120" s="21">
        <v>1</v>
      </c>
      <c r="I120" s="21">
        <v>1</v>
      </c>
      <c r="J120" s="21">
        <v>82909</v>
      </c>
      <c r="K120">
        <v>0.49426681241615</v>
      </c>
      <c r="L120" t="str">
        <f>IF(Table13[[#This Row],[Debt_to_Income_Ratio]]&lt;0.3,"Low DTI", IF(Table13[[#This Row],[Debt_to_Income_Ratio]]&lt;0.5,"Moderate DTI", "High DTI"))</f>
        <v>Moderate DTI</v>
      </c>
      <c r="M120" t="s">
        <v>43</v>
      </c>
      <c r="N120" s="21">
        <v>9</v>
      </c>
      <c r="O120" t="s">
        <v>37</v>
      </c>
      <c r="P120" t="s">
        <v>22</v>
      </c>
      <c r="Q120" t="s">
        <v>29</v>
      </c>
      <c r="R120" t="s">
        <v>23</v>
      </c>
      <c r="S120" t="s">
        <v>29</v>
      </c>
      <c r="T120" t="s">
        <v>24</v>
      </c>
      <c r="U120" t="s">
        <v>23</v>
      </c>
      <c r="V120" t="s">
        <v>24</v>
      </c>
    </row>
    <row r="121" spans="1:22">
      <c r="A121" t="s">
        <v>157</v>
      </c>
      <c r="B121" s="21">
        <v>28</v>
      </c>
      <c r="C121" s="21">
        <v>134156</v>
      </c>
      <c r="D121" s="21">
        <v>584</v>
      </c>
      <c r="E121" t="str">
        <f>VLOOKUP(Table13[[#This Row],[Credit_Score]],Table4[],2,TRUE)</f>
        <v>High Risk</v>
      </c>
      <c r="F121">
        <v>0.67089212535893805</v>
      </c>
      <c r="G121" t="str">
        <f>IF(Table13[[#This Row],[Credit_Utilization]]&lt;0.3,"Low Utilization",
IF(Table13[[#This Row],[Credit_Utilization]]&lt;0.7,"Moderate Utilization",
"High Utilization"))</f>
        <v>Moderate Utilization</v>
      </c>
      <c r="H121" s="21">
        <v>2</v>
      </c>
      <c r="I121" s="21">
        <v>0</v>
      </c>
      <c r="J121" s="21">
        <v>30509</v>
      </c>
      <c r="K121">
        <v>0.25159429806722</v>
      </c>
      <c r="L121" t="str">
        <f>IF(Table13[[#This Row],[Debt_to_Income_Ratio]]&lt;0.3,"Low DTI", IF(Table13[[#This Row],[Debt_to_Income_Ratio]]&lt;0.5,"Moderate DTI", "High DTI"))</f>
        <v>Low DTI</v>
      </c>
      <c r="M121" t="s">
        <v>43</v>
      </c>
      <c r="N121" s="21">
        <v>1</v>
      </c>
      <c r="O121" t="s">
        <v>45</v>
      </c>
      <c r="P121" t="s">
        <v>38</v>
      </c>
      <c r="Q121" t="s">
        <v>23</v>
      </c>
      <c r="R121" t="s">
        <v>24</v>
      </c>
      <c r="S121" t="s">
        <v>23</v>
      </c>
      <c r="T121" t="s">
        <v>23</v>
      </c>
      <c r="U121" t="s">
        <v>29</v>
      </c>
      <c r="V121" t="s">
        <v>24</v>
      </c>
    </row>
    <row r="122" spans="1:22">
      <c r="A122" t="s">
        <v>158</v>
      </c>
      <c r="B122" s="21">
        <v>68</v>
      </c>
      <c r="C122" s="21">
        <v>190333</v>
      </c>
      <c r="D122" s="21">
        <v>526</v>
      </c>
      <c r="E122" t="str">
        <f>VLOOKUP(Table13[[#This Row],[Credit_Score]],Table4[],2,TRUE)</f>
        <v>High Risk</v>
      </c>
      <c r="F122">
        <v>0.60970597170695395</v>
      </c>
      <c r="G122" t="str">
        <f>IF(Table13[[#This Row],[Credit_Utilization]]&lt;0.3,"Low Utilization",
IF(Table13[[#This Row],[Credit_Utilization]]&lt;0.7,"Moderate Utilization",
"High Utilization"))</f>
        <v>Moderate Utilization</v>
      </c>
      <c r="H122" s="21">
        <v>2</v>
      </c>
      <c r="I122" s="21">
        <v>0</v>
      </c>
      <c r="J122" s="21">
        <v>45776</v>
      </c>
      <c r="K122">
        <v>0.1</v>
      </c>
      <c r="L122" t="str">
        <f>IF(Table13[[#This Row],[Debt_to_Income_Ratio]]&lt;0.3,"Low DTI", IF(Table13[[#This Row],[Debt_to_Income_Ratio]]&lt;0.5,"Moderate DTI", "High DTI"))</f>
        <v>Low DTI</v>
      </c>
      <c r="M122" t="s">
        <v>43</v>
      </c>
      <c r="N122" s="21">
        <v>3</v>
      </c>
      <c r="O122" t="s">
        <v>27</v>
      </c>
      <c r="P122" t="s">
        <v>53</v>
      </c>
      <c r="Q122" t="s">
        <v>24</v>
      </c>
      <c r="R122" t="s">
        <v>29</v>
      </c>
      <c r="S122" t="s">
        <v>24</v>
      </c>
      <c r="T122" t="s">
        <v>29</v>
      </c>
      <c r="U122" t="s">
        <v>29</v>
      </c>
      <c r="V122" t="s">
        <v>24</v>
      </c>
    </row>
    <row r="123" spans="1:22">
      <c r="A123" t="s">
        <v>159</v>
      </c>
      <c r="B123" s="21">
        <v>34</v>
      </c>
      <c r="C123" s="21">
        <v>125226</v>
      </c>
      <c r="D123" s="21">
        <v>354</v>
      </c>
      <c r="E123" t="str">
        <f>VLOOKUP(Table13[[#This Row],[Credit_Score]],Table4[],2,TRUE)</f>
        <v>High Risk</v>
      </c>
      <c r="F123">
        <v>0.31551346279770398</v>
      </c>
      <c r="G123" t="str">
        <f>IF(Table13[[#This Row],[Credit_Utilization]]&lt;0.3,"Low Utilization",
IF(Table13[[#This Row],[Credit_Utilization]]&lt;0.7,"Moderate Utilization",
"High Utilization"))</f>
        <v>Moderate Utilization</v>
      </c>
      <c r="H123" s="21">
        <v>3</v>
      </c>
      <c r="I123" s="21">
        <v>0</v>
      </c>
      <c r="J123" s="21">
        <v>35598</v>
      </c>
      <c r="K123">
        <v>0.35790077001492598</v>
      </c>
      <c r="L123" t="str">
        <f>IF(Table13[[#This Row],[Debt_to_Income_Ratio]]&lt;0.3,"Low DTI", IF(Table13[[#This Row],[Debt_to_Income_Ratio]]&lt;0.5,"Moderate DTI", "High DTI"))</f>
        <v>Moderate DTI</v>
      </c>
      <c r="M123" t="s">
        <v>43</v>
      </c>
      <c r="N123" s="21">
        <v>5</v>
      </c>
      <c r="O123" t="s">
        <v>21</v>
      </c>
      <c r="P123" t="s">
        <v>38</v>
      </c>
      <c r="Q123" t="s">
        <v>23</v>
      </c>
      <c r="R123" t="s">
        <v>29</v>
      </c>
      <c r="S123" t="s">
        <v>29</v>
      </c>
      <c r="T123" t="s">
        <v>23</v>
      </c>
      <c r="U123" t="s">
        <v>24</v>
      </c>
      <c r="V123" t="s">
        <v>29</v>
      </c>
    </row>
    <row r="124" spans="1:22">
      <c r="A124" t="s">
        <v>160</v>
      </c>
      <c r="B124" s="21">
        <v>25</v>
      </c>
      <c r="C124" s="21">
        <v>80953</v>
      </c>
      <c r="D124" s="21">
        <v>623</v>
      </c>
      <c r="E124" t="str">
        <f>VLOOKUP(Table13[[#This Row],[Credit_Score]],Table4[],2,TRUE)</f>
        <v>Medium Risk</v>
      </c>
      <c r="F124">
        <v>0.80423442755294805</v>
      </c>
      <c r="G124" t="str">
        <f>IF(Table13[[#This Row],[Credit_Utilization]]&lt;0.3,"Low Utilization",
IF(Table13[[#This Row],[Credit_Utilization]]&lt;0.7,"Moderate Utilization",
"High Utilization"))</f>
        <v>High Utilization</v>
      </c>
      <c r="H124" s="21">
        <v>1</v>
      </c>
      <c r="I124" s="21">
        <v>1</v>
      </c>
      <c r="J124" s="21">
        <v>71588</v>
      </c>
      <c r="K124">
        <v>0.43899640686042002</v>
      </c>
      <c r="L124" t="str">
        <f>IF(Table13[[#This Row],[Debt_to_Income_Ratio]]&lt;0.3,"Low DTI", IF(Table13[[#This Row],[Debt_to_Income_Ratio]]&lt;0.5,"Moderate DTI", "High DTI"))</f>
        <v>Moderate DTI</v>
      </c>
      <c r="M124" t="s">
        <v>43</v>
      </c>
      <c r="N124" s="21">
        <v>17</v>
      </c>
      <c r="O124" t="s">
        <v>37</v>
      </c>
      <c r="P124" t="s">
        <v>32</v>
      </c>
      <c r="Q124" t="s">
        <v>29</v>
      </c>
      <c r="R124" t="s">
        <v>29</v>
      </c>
      <c r="S124" t="s">
        <v>24</v>
      </c>
      <c r="T124" t="s">
        <v>24</v>
      </c>
      <c r="U124" t="s">
        <v>29</v>
      </c>
      <c r="V124" t="s">
        <v>24</v>
      </c>
    </row>
    <row r="125" spans="1:22">
      <c r="A125" t="s">
        <v>161</v>
      </c>
      <c r="B125" s="21">
        <v>52</v>
      </c>
      <c r="C125" s="21">
        <v>129692</v>
      </c>
      <c r="D125" s="21">
        <v>522</v>
      </c>
      <c r="E125" t="str">
        <f>VLOOKUP(Table13[[#This Row],[Credit_Score]],Table4[],2,TRUE)</f>
        <v>High Risk</v>
      </c>
      <c r="F125">
        <v>0.76965601318527899</v>
      </c>
      <c r="G125" t="str">
        <f>IF(Table13[[#This Row],[Credit_Utilization]]&lt;0.3,"Low Utilization",
IF(Table13[[#This Row],[Credit_Utilization]]&lt;0.7,"Moderate Utilization",
"High Utilization"))</f>
        <v>High Utilization</v>
      </c>
      <c r="H125" s="21">
        <v>0</v>
      </c>
      <c r="I125" s="21">
        <v>0</v>
      </c>
      <c r="J125" s="21">
        <v>36955</v>
      </c>
      <c r="K125">
        <v>0.26962402184802198</v>
      </c>
      <c r="L125" t="str">
        <f>IF(Table13[[#This Row],[Debt_to_Income_Ratio]]&lt;0.3,"Low DTI", IF(Table13[[#This Row],[Debt_to_Income_Ratio]]&lt;0.5,"Moderate DTI", "High DTI"))</f>
        <v>Low DTI</v>
      </c>
      <c r="M125" t="s">
        <v>26</v>
      </c>
      <c r="N125" s="21">
        <v>5</v>
      </c>
      <c r="O125" t="s">
        <v>45</v>
      </c>
      <c r="P125" t="s">
        <v>53</v>
      </c>
      <c r="Q125" t="s">
        <v>23</v>
      </c>
      <c r="R125" t="s">
        <v>29</v>
      </c>
      <c r="S125" t="s">
        <v>29</v>
      </c>
      <c r="T125" t="s">
        <v>23</v>
      </c>
      <c r="U125" t="s">
        <v>29</v>
      </c>
      <c r="V125" t="s">
        <v>23</v>
      </c>
    </row>
    <row r="126" spans="1:22">
      <c r="A126" t="s">
        <v>162</v>
      </c>
      <c r="B126" s="21">
        <v>52</v>
      </c>
      <c r="C126" s="21">
        <v>199402</v>
      </c>
      <c r="D126" s="21">
        <v>427</v>
      </c>
      <c r="E126" t="str">
        <f>VLOOKUP(Table13[[#This Row],[Credit_Score]],Table4[],2,TRUE)</f>
        <v>High Risk</v>
      </c>
      <c r="F126">
        <v>0.35339878734467101</v>
      </c>
      <c r="G126" t="str">
        <f>IF(Table13[[#This Row],[Credit_Utilization]]&lt;0.3,"Low Utilization",
IF(Table13[[#This Row],[Credit_Utilization]]&lt;0.7,"Moderate Utilization",
"High Utilization"))</f>
        <v>Moderate Utilization</v>
      </c>
      <c r="H126" s="21">
        <v>0</v>
      </c>
      <c r="I126" s="21">
        <v>1</v>
      </c>
      <c r="J126" s="21">
        <v>45776</v>
      </c>
      <c r="K126">
        <v>0.22949625198603299</v>
      </c>
      <c r="L126" t="str">
        <f>IF(Table13[[#This Row],[Debt_to_Income_Ratio]]&lt;0.3,"Low DTI", IF(Table13[[#This Row],[Debt_to_Income_Ratio]]&lt;0.5,"Moderate DTI", "High DTI"))</f>
        <v>Low DTI</v>
      </c>
      <c r="M126" t="s">
        <v>43</v>
      </c>
      <c r="N126" s="21">
        <v>16</v>
      </c>
      <c r="O126" t="s">
        <v>31</v>
      </c>
      <c r="P126" t="s">
        <v>32</v>
      </c>
      <c r="Q126" t="s">
        <v>29</v>
      </c>
      <c r="R126" t="s">
        <v>29</v>
      </c>
      <c r="S126" t="s">
        <v>23</v>
      </c>
      <c r="T126" t="s">
        <v>29</v>
      </c>
      <c r="U126" t="s">
        <v>24</v>
      </c>
      <c r="V126" t="s">
        <v>24</v>
      </c>
    </row>
    <row r="127" spans="1:22">
      <c r="A127" t="s">
        <v>163</v>
      </c>
      <c r="B127" s="21">
        <v>50</v>
      </c>
      <c r="C127" s="21">
        <v>90880</v>
      </c>
      <c r="D127" s="21">
        <v>800</v>
      </c>
      <c r="E127" t="str">
        <f>VLOOKUP(Table13[[#This Row],[Credit_Score]],Table4[],2,TRUE)</f>
        <v>Low Risk</v>
      </c>
      <c r="F127">
        <v>0.351341999407006</v>
      </c>
      <c r="G127" t="str">
        <f>IF(Table13[[#This Row],[Credit_Utilization]]&lt;0.3,"Low Utilization",
IF(Table13[[#This Row],[Credit_Utilization]]&lt;0.7,"Moderate Utilization",
"High Utilization"))</f>
        <v>Moderate Utilization</v>
      </c>
      <c r="H127" s="21">
        <v>4</v>
      </c>
      <c r="I127" s="21">
        <v>1</v>
      </c>
      <c r="J127" s="21">
        <v>89537</v>
      </c>
      <c r="K127">
        <v>0.25627405946222998</v>
      </c>
      <c r="L127" t="str">
        <f>IF(Table13[[#This Row],[Debt_to_Income_Ratio]]&lt;0.3,"Low DTI", IF(Table13[[#This Row],[Debt_to_Income_Ratio]]&lt;0.5,"Moderate DTI", "High DTI"))</f>
        <v>Low DTI</v>
      </c>
      <c r="M127" t="s">
        <v>43</v>
      </c>
      <c r="N127" s="21">
        <v>13</v>
      </c>
      <c r="O127" t="s">
        <v>37</v>
      </c>
      <c r="P127" t="s">
        <v>22</v>
      </c>
      <c r="Q127" t="s">
        <v>29</v>
      </c>
      <c r="R127" t="s">
        <v>29</v>
      </c>
      <c r="S127" t="s">
        <v>24</v>
      </c>
      <c r="T127" t="s">
        <v>23</v>
      </c>
      <c r="U127" t="s">
        <v>29</v>
      </c>
      <c r="V127" t="s">
        <v>23</v>
      </c>
    </row>
    <row r="128" spans="1:22">
      <c r="A128" t="s">
        <v>164</v>
      </c>
      <c r="B128" s="21">
        <v>22</v>
      </c>
      <c r="C128" s="21">
        <v>118081</v>
      </c>
      <c r="D128" s="21">
        <v>623</v>
      </c>
      <c r="E128" t="str">
        <f>VLOOKUP(Table13[[#This Row],[Credit_Score]],Table4[],2,TRUE)</f>
        <v>Medium Risk</v>
      </c>
      <c r="F128">
        <v>0.38143441252410198</v>
      </c>
      <c r="G128" t="str">
        <f>IF(Table13[[#This Row],[Credit_Utilization]]&lt;0.3,"Low Utilization",
IF(Table13[[#This Row],[Credit_Utilization]]&lt;0.7,"Moderate Utilization",
"High Utilization"))</f>
        <v>Moderate Utilization</v>
      </c>
      <c r="H128" s="21">
        <v>4</v>
      </c>
      <c r="I128" s="21">
        <v>0</v>
      </c>
      <c r="J128" s="21">
        <v>16034</v>
      </c>
      <c r="K128">
        <v>0.38502053671312297</v>
      </c>
      <c r="L128" t="str">
        <f>IF(Table13[[#This Row],[Debt_to_Income_Ratio]]&lt;0.3,"Low DTI", IF(Table13[[#This Row],[Debt_to_Income_Ratio]]&lt;0.5,"Moderate DTI", "High DTI"))</f>
        <v>Moderate DTI</v>
      </c>
      <c r="M128" t="s">
        <v>43</v>
      </c>
      <c r="N128" s="21">
        <v>10</v>
      </c>
      <c r="O128" t="s">
        <v>21</v>
      </c>
      <c r="P128" t="s">
        <v>22</v>
      </c>
      <c r="Q128" t="s">
        <v>23</v>
      </c>
      <c r="R128" t="s">
        <v>29</v>
      </c>
      <c r="S128" t="s">
        <v>23</v>
      </c>
      <c r="T128" t="s">
        <v>24</v>
      </c>
      <c r="U128" t="s">
        <v>23</v>
      </c>
      <c r="V128" t="s">
        <v>29</v>
      </c>
    </row>
    <row r="129" spans="1:22">
      <c r="A129" t="s">
        <v>165</v>
      </c>
      <c r="B129" s="21">
        <v>59</v>
      </c>
      <c r="C129" s="21">
        <v>115497</v>
      </c>
      <c r="D129" s="21">
        <v>693</v>
      </c>
      <c r="E129" t="str">
        <f>VLOOKUP(Table13[[#This Row],[Credit_Score]],Table4[],2,TRUE)</f>
        <v>Medium Risk</v>
      </c>
      <c r="F129">
        <v>0.39853344492228998</v>
      </c>
      <c r="G129" t="str">
        <f>IF(Table13[[#This Row],[Credit_Utilization]]&lt;0.3,"Low Utilization",
IF(Table13[[#This Row],[Credit_Utilization]]&lt;0.7,"Moderate Utilization",
"High Utilization"))</f>
        <v>Moderate Utilization</v>
      </c>
      <c r="H129" s="21">
        <v>0</v>
      </c>
      <c r="I129" s="21">
        <v>0</v>
      </c>
      <c r="J129" s="21">
        <v>89537</v>
      </c>
      <c r="K129">
        <v>0.25455390587150101</v>
      </c>
      <c r="L129" t="str">
        <f>IF(Table13[[#This Row],[Debt_to_Income_Ratio]]&lt;0.3,"Low DTI", IF(Table13[[#This Row],[Debt_to_Income_Ratio]]&lt;0.5,"Moderate DTI", "High DTI"))</f>
        <v>Low DTI</v>
      </c>
      <c r="M129" t="s">
        <v>34</v>
      </c>
      <c r="N129" s="21">
        <v>18</v>
      </c>
      <c r="O129" t="s">
        <v>27</v>
      </c>
      <c r="P129" t="s">
        <v>28</v>
      </c>
      <c r="Q129" t="s">
        <v>29</v>
      </c>
      <c r="R129" t="s">
        <v>23</v>
      </c>
      <c r="S129" t="s">
        <v>23</v>
      </c>
      <c r="T129" t="s">
        <v>24</v>
      </c>
      <c r="U129" t="s">
        <v>24</v>
      </c>
      <c r="V129" t="s">
        <v>23</v>
      </c>
    </row>
    <row r="130" spans="1:22">
      <c r="A130" t="s">
        <v>166</v>
      </c>
      <c r="B130" s="21">
        <v>56</v>
      </c>
      <c r="C130" s="21">
        <v>199402</v>
      </c>
      <c r="D130" s="21">
        <v>777</v>
      </c>
      <c r="E130" t="str">
        <f>VLOOKUP(Table13[[#This Row],[Credit_Score]],Table4[],2,TRUE)</f>
        <v>Low Risk</v>
      </c>
      <c r="F130">
        <v>0.69010760158568796</v>
      </c>
      <c r="G130" t="str">
        <f>IF(Table13[[#This Row],[Credit_Utilization]]&lt;0.3,"Low Utilization",
IF(Table13[[#This Row],[Credit_Utilization]]&lt;0.7,"Moderate Utilization",
"High Utilization"))</f>
        <v>Moderate Utilization</v>
      </c>
      <c r="H130" s="21">
        <v>2</v>
      </c>
      <c r="I130" s="21">
        <v>1</v>
      </c>
      <c r="J130" s="21">
        <v>96507</v>
      </c>
      <c r="K130">
        <v>0.33287603003428401</v>
      </c>
      <c r="L130" t="str">
        <f>IF(Table13[[#This Row],[Debt_to_Income_Ratio]]&lt;0.3,"Low DTI", IF(Table13[[#This Row],[Debt_to_Income_Ratio]]&lt;0.5,"Moderate DTI", "High DTI"))</f>
        <v>Moderate DTI</v>
      </c>
      <c r="M130" t="s">
        <v>50</v>
      </c>
      <c r="N130" s="21">
        <v>1</v>
      </c>
      <c r="O130" t="s">
        <v>37</v>
      </c>
      <c r="P130" t="s">
        <v>22</v>
      </c>
      <c r="Q130" t="s">
        <v>23</v>
      </c>
      <c r="R130" t="s">
        <v>24</v>
      </c>
      <c r="S130" t="s">
        <v>29</v>
      </c>
      <c r="T130" t="s">
        <v>24</v>
      </c>
      <c r="U130" t="s">
        <v>24</v>
      </c>
      <c r="V130" t="s">
        <v>24</v>
      </c>
    </row>
    <row r="131" spans="1:22">
      <c r="A131" t="s">
        <v>167</v>
      </c>
      <c r="B131" s="21">
        <v>58</v>
      </c>
      <c r="C131" s="21">
        <v>166836</v>
      </c>
      <c r="D131" s="21">
        <v>781</v>
      </c>
      <c r="E131" t="str">
        <f>VLOOKUP(Table13[[#This Row],[Credit_Score]],Table4[],2,TRUE)</f>
        <v>Low Risk</v>
      </c>
      <c r="F131">
        <v>0.58506581209531805</v>
      </c>
      <c r="G131" t="str">
        <f>IF(Table13[[#This Row],[Credit_Utilization]]&lt;0.3,"Low Utilization",
IF(Table13[[#This Row],[Credit_Utilization]]&lt;0.7,"Moderate Utilization",
"High Utilization"))</f>
        <v>Moderate Utilization</v>
      </c>
      <c r="H131" s="21">
        <v>5</v>
      </c>
      <c r="I131" s="21">
        <v>0</v>
      </c>
      <c r="J131" s="21">
        <v>76445</v>
      </c>
      <c r="K131">
        <v>0.302780291573994</v>
      </c>
      <c r="L131" t="str">
        <f>IF(Table13[[#This Row],[Debt_to_Income_Ratio]]&lt;0.3,"Low DTI", IF(Table13[[#This Row],[Debt_to_Income_Ratio]]&lt;0.5,"Moderate DTI", "High DTI"))</f>
        <v>Moderate DTI</v>
      </c>
      <c r="M131" t="s">
        <v>26</v>
      </c>
      <c r="N131" s="21">
        <v>2</v>
      </c>
      <c r="O131" t="s">
        <v>37</v>
      </c>
      <c r="P131" t="s">
        <v>32</v>
      </c>
      <c r="Q131" t="s">
        <v>29</v>
      </c>
      <c r="R131" t="s">
        <v>29</v>
      </c>
      <c r="S131" t="s">
        <v>24</v>
      </c>
      <c r="T131" t="s">
        <v>24</v>
      </c>
      <c r="U131" t="s">
        <v>23</v>
      </c>
      <c r="V131" t="s">
        <v>24</v>
      </c>
    </row>
    <row r="132" spans="1:22">
      <c r="A132" t="s">
        <v>168</v>
      </c>
      <c r="B132" s="21">
        <v>45</v>
      </c>
      <c r="C132" s="21">
        <v>187627</v>
      </c>
      <c r="D132" s="21">
        <v>766</v>
      </c>
      <c r="E132" t="str">
        <f>VLOOKUP(Table13[[#This Row],[Credit_Score]],Table4[],2,TRUE)</f>
        <v>Low Risk</v>
      </c>
      <c r="F132">
        <v>0.67541575387011699</v>
      </c>
      <c r="G132" t="str">
        <f>IF(Table13[[#This Row],[Credit_Utilization]]&lt;0.3,"Low Utilization",
IF(Table13[[#This Row],[Credit_Utilization]]&lt;0.7,"Moderate Utilization",
"High Utilization"))</f>
        <v>Moderate Utilization</v>
      </c>
      <c r="H132" s="21">
        <v>2</v>
      </c>
      <c r="I132" s="21">
        <v>0</v>
      </c>
      <c r="J132" s="21">
        <v>20052</v>
      </c>
      <c r="K132">
        <v>0.29246203875772298</v>
      </c>
      <c r="L132" t="str">
        <f>IF(Table13[[#This Row],[Debt_to_Income_Ratio]]&lt;0.3,"Low DTI", IF(Table13[[#This Row],[Debt_to_Income_Ratio]]&lt;0.5,"Moderate DTI", "High DTI"))</f>
        <v>Low DTI</v>
      </c>
      <c r="M132" t="s">
        <v>43</v>
      </c>
      <c r="N132" s="21">
        <v>10</v>
      </c>
      <c r="O132" t="s">
        <v>45</v>
      </c>
      <c r="P132" t="s">
        <v>22</v>
      </c>
      <c r="Q132" t="s">
        <v>29</v>
      </c>
      <c r="R132" t="s">
        <v>29</v>
      </c>
      <c r="S132" t="s">
        <v>29</v>
      </c>
      <c r="T132" t="s">
        <v>29</v>
      </c>
      <c r="U132" t="s">
        <v>24</v>
      </c>
      <c r="V132" t="s">
        <v>23</v>
      </c>
    </row>
    <row r="133" spans="1:22">
      <c r="A133" t="s">
        <v>169</v>
      </c>
      <c r="B133" s="21">
        <v>24</v>
      </c>
      <c r="C133" s="21">
        <v>73141</v>
      </c>
      <c r="D133" s="21">
        <v>717</v>
      </c>
      <c r="E133" t="str">
        <f>VLOOKUP(Table13[[#This Row],[Credit_Score]],Table4[],2,TRUE)</f>
        <v>Medium Risk</v>
      </c>
      <c r="F133">
        <v>0.63471302863734003</v>
      </c>
      <c r="G133" t="str">
        <f>IF(Table13[[#This Row],[Credit_Utilization]]&lt;0.3,"Low Utilization",
IF(Table13[[#This Row],[Credit_Utilization]]&lt;0.7,"Moderate Utilization",
"High Utilization"))</f>
        <v>Moderate Utilization</v>
      </c>
      <c r="H133" s="21">
        <v>4</v>
      </c>
      <c r="I133" s="21">
        <v>0</v>
      </c>
      <c r="J133" s="21">
        <v>36913</v>
      </c>
      <c r="K133">
        <v>0.37012923267522302</v>
      </c>
      <c r="L133" t="str">
        <f>IF(Table13[[#This Row],[Debt_to_Income_Ratio]]&lt;0.3,"Low DTI", IF(Table13[[#This Row],[Debt_to_Income_Ratio]]&lt;0.5,"Moderate DTI", "High DTI"))</f>
        <v>Moderate DTI</v>
      </c>
      <c r="M133" t="s">
        <v>43</v>
      </c>
      <c r="N133" s="21">
        <v>5</v>
      </c>
      <c r="O133" t="s">
        <v>31</v>
      </c>
      <c r="P133" t="s">
        <v>53</v>
      </c>
      <c r="Q133" t="s">
        <v>23</v>
      </c>
      <c r="R133" t="s">
        <v>23</v>
      </c>
      <c r="S133" t="s">
        <v>24</v>
      </c>
      <c r="T133" t="s">
        <v>23</v>
      </c>
      <c r="U133" t="s">
        <v>24</v>
      </c>
      <c r="V133" t="s">
        <v>29</v>
      </c>
    </row>
    <row r="134" spans="1:22">
      <c r="A134" t="s">
        <v>170</v>
      </c>
      <c r="B134" s="21">
        <v>26</v>
      </c>
      <c r="C134" s="21">
        <v>180983</v>
      </c>
      <c r="D134" s="21">
        <v>427</v>
      </c>
      <c r="E134" t="str">
        <f>VLOOKUP(Table13[[#This Row],[Credit_Score]],Table4[],2,TRUE)</f>
        <v>High Risk</v>
      </c>
      <c r="F134">
        <v>0.84290541363874605</v>
      </c>
      <c r="G134" t="str">
        <f>IF(Table13[[#This Row],[Credit_Utilization]]&lt;0.3,"Low Utilization",
IF(Table13[[#This Row],[Credit_Utilization]]&lt;0.7,"Moderate Utilization",
"High Utilization"))</f>
        <v>High Utilization</v>
      </c>
      <c r="H134" s="21">
        <v>3</v>
      </c>
      <c r="I134" s="21">
        <v>0</v>
      </c>
      <c r="J134" s="21">
        <v>77209</v>
      </c>
      <c r="K134">
        <v>0.25214201001358</v>
      </c>
      <c r="L134" t="str">
        <f>IF(Table13[[#This Row],[Debt_to_Income_Ratio]]&lt;0.3,"Low DTI", IF(Table13[[#This Row],[Debt_to_Income_Ratio]]&lt;0.5,"Moderate DTI", "High DTI"))</f>
        <v>Low DTI</v>
      </c>
      <c r="M134" t="s">
        <v>50</v>
      </c>
      <c r="N134" s="21">
        <v>13</v>
      </c>
      <c r="O134" t="s">
        <v>31</v>
      </c>
      <c r="P134" t="s">
        <v>22</v>
      </c>
      <c r="Q134" t="s">
        <v>24</v>
      </c>
      <c r="R134" t="s">
        <v>23</v>
      </c>
      <c r="S134" t="s">
        <v>24</v>
      </c>
      <c r="T134" t="s">
        <v>23</v>
      </c>
      <c r="U134" t="s">
        <v>24</v>
      </c>
      <c r="V134" t="s">
        <v>23</v>
      </c>
    </row>
    <row r="135" spans="1:22">
      <c r="A135" t="s">
        <v>171</v>
      </c>
      <c r="B135" s="21">
        <v>25</v>
      </c>
      <c r="C135" s="21">
        <v>168772</v>
      </c>
      <c r="D135" s="21">
        <v>388</v>
      </c>
      <c r="E135" t="str">
        <f>VLOOKUP(Table13[[#This Row],[Credit_Score]],Table4[],2,TRUE)</f>
        <v>High Risk</v>
      </c>
      <c r="F135">
        <v>0.28812289123817098</v>
      </c>
      <c r="G135" t="str">
        <f>IF(Table13[[#This Row],[Credit_Utilization]]&lt;0.3,"Low Utilization",
IF(Table13[[#This Row],[Credit_Utilization]]&lt;0.7,"Moderate Utilization",
"High Utilization"))</f>
        <v>Low Utilization</v>
      </c>
      <c r="H135" s="21">
        <v>0</v>
      </c>
      <c r="I135" s="21">
        <v>1</v>
      </c>
      <c r="J135" s="21">
        <v>94363</v>
      </c>
      <c r="K135">
        <v>0.25694134398177199</v>
      </c>
      <c r="L135" t="str">
        <f>IF(Table13[[#This Row],[Debt_to_Income_Ratio]]&lt;0.3,"Low DTI", IF(Table13[[#This Row],[Debt_to_Income_Ratio]]&lt;0.5,"Moderate DTI", "High DTI"))</f>
        <v>Low DTI</v>
      </c>
      <c r="M135" t="s">
        <v>26</v>
      </c>
      <c r="N135" s="21">
        <v>18</v>
      </c>
      <c r="O135" t="s">
        <v>27</v>
      </c>
      <c r="P135" t="s">
        <v>28</v>
      </c>
      <c r="Q135" t="s">
        <v>24</v>
      </c>
      <c r="R135" t="s">
        <v>29</v>
      </c>
      <c r="S135" t="s">
        <v>29</v>
      </c>
      <c r="T135" t="s">
        <v>24</v>
      </c>
      <c r="U135" t="s">
        <v>24</v>
      </c>
      <c r="V135" t="s">
        <v>24</v>
      </c>
    </row>
    <row r="136" spans="1:22">
      <c r="A136" t="s">
        <v>172</v>
      </c>
      <c r="B136" s="21">
        <v>29</v>
      </c>
      <c r="C136" s="21">
        <v>16252</v>
      </c>
      <c r="D136" s="21">
        <v>441</v>
      </c>
      <c r="E136" t="str">
        <f>VLOOKUP(Table13[[#This Row],[Credit_Score]],Table4[],2,TRUE)</f>
        <v>High Risk</v>
      </c>
      <c r="F136">
        <v>0.57607170607678304</v>
      </c>
      <c r="G136" t="str">
        <f>IF(Table13[[#This Row],[Credit_Utilization]]&lt;0.3,"Low Utilization",
IF(Table13[[#This Row],[Credit_Utilization]]&lt;0.7,"Moderate Utilization",
"High Utilization"))</f>
        <v>Moderate Utilization</v>
      </c>
      <c r="H136" s="21">
        <v>4</v>
      </c>
      <c r="I136" s="21">
        <v>0</v>
      </c>
      <c r="J136" s="21">
        <v>96056</v>
      </c>
      <c r="K136">
        <v>0.379760284999975</v>
      </c>
      <c r="L136" t="str">
        <f>IF(Table13[[#This Row],[Debt_to_Income_Ratio]]&lt;0.3,"Low DTI", IF(Table13[[#This Row],[Debt_to_Income_Ratio]]&lt;0.5,"Moderate DTI", "High DTI"))</f>
        <v>Moderate DTI</v>
      </c>
      <c r="M136" t="s">
        <v>43</v>
      </c>
      <c r="N136" s="21">
        <v>15</v>
      </c>
      <c r="O136" t="s">
        <v>21</v>
      </c>
      <c r="P136" t="s">
        <v>22</v>
      </c>
      <c r="Q136" t="s">
        <v>23</v>
      </c>
      <c r="R136" t="s">
        <v>29</v>
      </c>
      <c r="S136" t="s">
        <v>23</v>
      </c>
      <c r="T136" t="s">
        <v>29</v>
      </c>
      <c r="U136" t="s">
        <v>24</v>
      </c>
      <c r="V136" t="s">
        <v>23</v>
      </c>
    </row>
    <row r="137" spans="1:22">
      <c r="A137" t="s">
        <v>173</v>
      </c>
      <c r="B137" s="21">
        <v>51</v>
      </c>
      <c r="C137" s="21">
        <v>118333</v>
      </c>
      <c r="D137" s="21">
        <v>346</v>
      </c>
      <c r="E137" t="str">
        <f>VLOOKUP(Table13[[#This Row],[Credit_Score]],Table4[],2,TRUE)</f>
        <v>High Risk</v>
      </c>
      <c r="F137">
        <v>6.5235748753060402E-2</v>
      </c>
      <c r="G137" t="str">
        <f>IF(Table13[[#This Row],[Credit_Utilization]]&lt;0.3,"Low Utilization",
IF(Table13[[#This Row],[Credit_Utilization]]&lt;0.7,"Moderate Utilization",
"High Utilization"))</f>
        <v>Low Utilization</v>
      </c>
      <c r="H137" s="21">
        <v>4</v>
      </c>
      <c r="I137" s="21">
        <v>0</v>
      </c>
      <c r="J137" s="21">
        <v>20081</v>
      </c>
      <c r="K137">
        <v>0.201307467583134</v>
      </c>
      <c r="L137" t="str">
        <f>IF(Table13[[#This Row],[Debt_to_Income_Ratio]]&lt;0.3,"Low DTI", IF(Table13[[#This Row],[Debt_to_Income_Ratio]]&lt;0.5,"Moderate DTI", "High DTI"))</f>
        <v>Low DTI</v>
      </c>
      <c r="M137" t="s">
        <v>43</v>
      </c>
      <c r="N137" s="21">
        <v>6</v>
      </c>
      <c r="O137" t="s">
        <v>27</v>
      </c>
      <c r="P137" t="s">
        <v>32</v>
      </c>
      <c r="Q137" t="s">
        <v>29</v>
      </c>
      <c r="R137" t="s">
        <v>29</v>
      </c>
      <c r="S137" t="s">
        <v>24</v>
      </c>
      <c r="T137" t="s">
        <v>24</v>
      </c>
      <c r="U137" t="s">
        <v>24</v>
      </c>
      <c r="V137" t="s">
        <v>23</v>
      </c>
    </row>
    <row r="138" spans="1:22">
      <c r="A138" t="s">
        <v>174</v>
      </c>
      <c r="B138" s="21">
        <v>50</v>
      </c>
      <c r="C138" s="21">
        <v>192247</v>
      </c>
      <c r="D138" s="21">
        <v>387</v>
      </c>
      <c r="E138" t="str">
        <f>VLOOKUP(Table13[[#This Row],[Credit_Score]],Table4[],2,TRUE)</f>
        <v>High Risk</v>
      </c>
      <c r="F138">
        <v>0.236608885180628</v>
      </c>
      <c r="G138" t="str">
        <f>IF(Table13[[#This Row],[Credit_Utilization]]&lt;0.3,"Low Utilization",
IF(Table13[[#This Row],[Credit_Utilization]]&lt;0.7,"Moderate Utilization",
"High Utilization"))</f>
        <v>Low Utilization</v>
      </c>
      <c r="H138" s="21">
        <v>5</v>
      </c>
      <c r="I138" s="21">
        <v>0</v>
      </c>
      <c r="J138" s="21">
        <v>28730</v>
      </c>
      <c r="K138">
        <v>0.21197798091776701</v>
      </c>
      <c r="L138" t="str">
        <f>IF(Table13[[#This Row],[Debt_to_Income_Ratio]]&lt;0.3,"Low DTI", IF(Table13[[#This Row],[Debt_to_Income_Ratio]]&lt;0.5,"Moderate DTI", "High DTI"))</f>
        <v>Low DTI</v>
      </c>
      <c r="M138" t="s">
        <v>34</v>
      </c>
      <c r="N138" s="21">
        <v>7</v>
      </c>
      <c r="O138" t="s">
        <v>37</v>
      </c>
      <c r="P138" t="s">
        <v>32</v>
      </c>
      <c r="Q138" t="s">
        <v>24</v>
      </c>
      <c r="R138" t="s">
        <v>24</v>
      </c>
      <c r="S138" t="s">
        <v>29</v>
      </c>
      <c r="T138" t="s">
        <v>24</v>
      </c>
      <c r="U138" t="s">
        <v>29</v>
      </c>
      <c r="V138" t="s">
        <v>29</v>
      </c>
    </row>
    <row r="139" spans="1:22">
      <c r="A139" t="s">
        <v>175</v>
      </c>
      <c r="B139" s="21">
        <v>65</v>
      </c>
      <c r="C139" s="21">
        <v>199294</v>
      </c>
      <c r="D139" s="21">
        <v>505</v>
      </c>
      <c r="E139" t="str">
        <f>VLOOKUP(Table13[[#This Row],[Credit_Score]],Table4[],2,TRUE)</f>
        <v>High Risk</v>
      </c>
      <c r="F139">
        <v>0.48502932281303002</v>
      </c>
      <c r="G139" t="str">
        <f>IF(Table13[[#This Row],[Credit_Utilization]]&lt;0.3,"Low Utilization",
IF(Table13[[#This Row],[Credit_Utilization]]&lt;0.7,"Moderate Utilization",
"High Utilization"))</f>
        <v>Moderate Utilization</v>
      </c>
      <c r="H139" s="21">
        <v>0</v>
      </c>
      <c r="I139" s="21">
        <v>0</v>
      </c>
      <c r="J139" s="21">
        <v>85107</v>
      </c>
      <c r="K139">
        <v>0.17396857086563999</v>
      </c>
      <c r="L139" t="str">
        <f>IF(Table13[[#This Row],[Debt_to_Income_Ratio]]&lt;0.3,"Low DTI", IF(Table13[[#This Row],[Debt_to_Income_Ratio]]&lt;0.5,"Moderate DTI", "High DTI"))</f>
        <v>Low DTI</v>
      </c>
      <c r="M139" t="s">
        <v>43</v>
      </c>
      <c r="N139" s="21">
        <v>18</v>
      </c>
      <c r="O139" t="s">
        <v>37</v>
      </c>
      <c r="P139" t="s">
        <v>22</v>
      </c>
      <c r="Q139" t="s">
        <v>23</v>
      </c>
      <c r="R139" t="s">
        <v>23</v>
      </c>
      <c r="S139" t="s">
        <v>24</v>
      </c>
      <c r="T139" t="s">
        <v>24</v>
      </c>
      <c r="U139" t="s">
        <v>29</v>
      </c>
      <c r="V139" t="s">
        <v>29</v>
      </c>
    </row>
    <row r="140" spans="1:22">
      <c r="A140" t="s">
        <v>176</v>
      </c>
      <c r="B140" s="21">
        <v>72</v>
      </c>
      <c r="C140" s="21">
        <v>138961</v>
      </c>
      <c r="D140" s="21">
        <v>402</v>
      </c>
      <c r="E140" t="str">
        <f>VLOOKUP(Table13[[#This Row],[Credit_Score]],Table4[],2,TRUE)</f>
        <v>High Risk</v>
      </c>
      <c r="F140">
        <v>0.58364132255090695</v>
      </c>
      <c r="G140" t="str">
        <f>IF(Table13[[#This Row],[Credit_Utilization]]&lt;0.3,"Low Utilization",
IF(Table13[[#This Row],[Credit_Utilization]]&lt;0.7,"Moderate Utilization",
"High Utilization"))</f>
        <v>Moderate Utilization</v>
      </c>
      <c r="H140" s="21">
        <v>5</v>
      </c>
      <c r="I140" s="21">
        <v>1</v>
      </c>
      <c r="J140" s="21">
        <v>42556</v>
      </c>
      <c r="K140">
        <v>0.38490109132765499</v>
      </c>
      <c r="L140" t="str">
        <f>IF(Table13[[#This Row],[Debt_to_Income_Ratio]]&lt;0.3,"Low DTI", IF(Table13[[#This Row],[Debt_to_Income_Ratio]]&lt;0.5,"Moderate DTI", "High DTI"))</f>
        <v>Moderate DTI</v>
      </c>
      <c r="M140" t="s">
        <v>34</v>
      </c>
      <c r="N140" s="21">
        <v>19</v>
      </c>
      <c r="O140" t="s">
        <v>31</v>
      </c>
      <c r="P140" t="s">
        <v>32</v>
      </c>
      <c r="Q140" t="s">
        <v>24</v>
      </c>
      <c r="R140" t="s">
        <v>29</v>
      </c>
      <c r="S140" t="s">
        <v>29</v>
      </c>
      <c r="T140" t="s">
        <v>23</v>
      </c>
      <c r="U140" t="s">
        <v>23</v>
      </c>
      <c r="V140" t="s">
        <v>29</v>
      </c>
    </row>
    <row r="141" spans="1:22">
      <c r="A141" t="s">
        <v>177</v>
      </c>
      <c r="B141" s="21">
        <v>40</v>
      </c>
      <c r="C141" s="21">
        <v>129548</v>
      </c>
      <c r="D141" s="21">
        <v>794</v>
      </c>
      <c r="E141" t="str">
        <f>VLOOKUP(Table13[[#This Row],[Credit_Score]],Table4[],2,TRUE)</f>
        <v>Low Risk</v>
      </c>
      <c r="F141">
        <v>0.47963685159408598</v>
      </c>
      <c r="G141" t="str">
        <f>IF(Table13[[#This Row],[Credit_Utilization]]&lt;0.3,"Low Utilization",
IF(Table13[[#This Row],[Credit_Utilization]]&lt;0.7,"Moderate Utilization",
"High Utilization"))</f>
        <v>Moderate Utilization</v>
      </c>
      <c r="H141" s="21">
        <v>0</v>
      </c>
      <c r="I141" s="21">
        <v>0</v>
      </c>
      <c r="J141" s="21">
        <v>16693</v>
      </c>
      <c r="K141">
        <v>0.28947630319187301</v>
      </c>
      <c r="L141" t="str">
        <f>IF(Table13[[#This Row],[Debt_to_Income_Ratio]]&lt;0.3,"Low DTI", IF(Table13[[#This Row],[Debt_to_Income_Ratio]]&lt;0.5,"Moderate DTI", "High DTI"))</f>
        <v>Low DTI</v>
      </c>
      <c r="M141" t="s">
        <v>43</v>
      </c>
      <c r="N141" s="21">
        <v>15</v>
      </c>
      <c r="O141" t="s">
        <v>21</v>
      </c>
      <c r="P141" t="s">
        <v>32</v>
      </c>
      <c r="Q141" t="s">
        <v>29</v>
      </c>
      <c r="R141" t="s">
        <v>29</v>
      </c>
      <c r="S141" t="s">
        <v>29</v>
      </c>
      <c r="T141" t="s">
        <v>23</v>
      </c>
      <c r="U141" t="s">
        <v>23</v>
      </c>
      <c r="V141" t="s">
        <v>29</v>
      </c>
    </row>
    <row r="142" spans="1:22">
      <c r="A142" t="s">
        <v>178</v>
      </c>
      <c r="B142" s="21">
        <v>41</v>
      </c>
      <c r="C142" s="21">
        <v>58088</v>
      </c>
      <c r="D142" s="21">
        <v>567</v>
      </c>
      <c r="E142" t="str">
        <f>VLOOKUP(Table13[[#This Row],[Credit_Score]],Table4[],2,TRUE)</f>
        <v>High Risk</v>
      </c>
      <c r="F142">
        <v>0.38656151623746399</v>
      </c>
      <c r="G142" t="str">
        <f>IF(Table13[[#This Row],[Credit_Utilization]]&lt;0.3,"Low Utilization",
IF(Table13[[#This Row],[Credit_Utilization]]&lt;0.7,"Moderate Utilization",
"High Utilization"))</f>
        <v>Moderate Utilization</v>
      </c>
      <c r="H142" s="21">
        <v>5</v>
      </c>
      <c r="I142" s="21">
        <v>0</v>
      </c>
      <c r="J142" s="21">
        <v>10951</v>
      </c>
      <c r="K142">
        <v>0.168638485392093</v>
      </c>
      <c r="L142" t="str">
        <f>IF(Table13[[#This Row],[Debt_to_Income_Ratio]]&lt;0.3,"Low DTI", IF(Table13[[#This Row],[Debt_to_Income_Ratio]]&lt;0.5,"Moderate DTI", "High DTI"))</f>
        <v>Low DTI</v>
      </c>
      <c r="M142" t="s">
        <v>26</v>
      </c>
      <c r="N142" s="21">
        <v>6</v>
      </c>
      <c r="O142" t="s">
        <v>45</v>
      </c>
      <c r="P142" t="s">
        <v>28</v>
      </c>
      <c r="Q142" t="s">
        <v>29</v>
      </c>
      <c r="R142" t="s">
        <v>23</v>
      </c>
      <c r="S142" t="s">
        <v>24</v>
      </c>
      <c r="T142" t="s">
        <v>29</v>
      </c>
      <c r="U142" t="s">
        <v>24</v>
      </c>
      <c r="V142" t="s">
        <v>29</v>
      </c>
    </row>
    <row r="143" spans="1:22">
      <c r="A143" t="s">
        <v>179</v>
      </c>
      <c r="B143" s="21">
        <v>54</v>
      </c>
      <c r="C143" s="21">
        <v>30485</v>
      </c>
      <c r="D143" s="21">
        <v>617</v>
      </c>
      <c r="E143" t="str">
        <f>VLOOKUP(Table13[[#This Row],[Credit_Score]],Table4[],2,TRUE)</f>
        <v>Medium Risk</v>
      </c>
      <c r="F143">
        <v>0.42211642450139197</v>
      </c>
      <c r="G143" t="str">
        <f>IF(Table13[[#This Row],[Credit_Utilization]]&lt;0.3,"Low Utilization",
IF(Table13[[#This Row],[Credit_Utilization]]&lt;0.7,"Moderate Utilization",
"High Utilization"))</f>
        <v>Moderate Utilization</v>
      </c>
      <c r="H143" s="21">
        <v>2</v>
      </c>
      <c r="I143" s="21">
        <v>0</v>
      </c>
      <c r="J143" s="21">
        <v>76861</v>
      </c>
      <c r="K143">
        <v>0.38538085623090601</v>
      </c>
      <c r="L143" t="str">
        <f>IF(Table13[[#This Row],[Debt_to_Income_Ratio]]&lt;0.3,"Low DTI", IF(Table13[[#This Row],[Debt_to_Income_Ratio]]&lt;0.5,"Moderate DTI", "High DTI"))</f>
        <v>Moderate DTI</v>
      </c>
      <c r="M143" t="s">
        <v>43</v>
      </c>
      <c r="N143" s="21">
        <v>8</v>
      </c>
      <c r="O143" t="s">
        <v>21</v>
      </c>
      <c r="P143" t="s">
        <v>53</v>
      </c>
      <c r="Q143" t="s">
        <v>23</v>
      </c>
      <c r="R143" t="s">
        <v>29</v>
      </c>
      <c r="S143" t="s">
        <v>24</v>
      </c>
      <c r="T143" t="s">
        <v>23</v>
      </c>
      <c r="U143" t="s">
        <v>24</v>
      </c>
      <c r="V143" t="s">
        <v>23</v>
      </c>
    </row>
    <row r="144" spans="1:22">
      <c r="A144" t="s">
        <v>180</v>
      </c>
      <c r="B144" s="21">
        <v>52</v>
      </c>
      <c r="C144" s="21">
        <v>178165</v>
      </c>
      <c r="D144" s="21">
        <v>823</v>
      </c>
      <c r="E144" t="str">
        <f>VLOOKUP(Table13[[#This Row],[Credit_Score]],Table4[],2,TRUE)</f>
        <v>Low Risk</v>
      </c>
      <c r="F144">
        <v>0.77388819528482</v>
      </c>
      <c r="G144" t="str">
        <f>IF(Table13[[#This Row],[Credit_Utilization]]&lt;0.3,"Low Utilization",
IF(Table13[[#This Row],[Credit_Utilization]]&lt;0.7,"Moderate Utilization",
"High Utilization"))</f>
        <v>High Utilization</v>
      </c>
      <c r="H144" s="21">
        <v>3</v>
      </c>
      <c r="I144" s="21">
        <v>0</v>
      </c>
      <c r="J144" s="21">
        <v>19977</v>
      </c>
      <c r="K144">
        <v>0.24444578384245599</v>
      </c>
      <c r="L144" t="str">
        <f>IF(Table13[[#This Row],[Debt_to_Income_Ratio]]&lt;0.3,"Low DTI", IF(Table13[[#This Row],[Debt_to_Income_Ratio]]&lt;0.5,"Moderate DTI", "High DTI"))</f>
        <v>Low DTI</v>
      </c>
      <c r="M144" t="s">
        <v>34</v>
      </c>
      <c r="N144" s="21">
        <v>12</v>
      </c>
      <c r="O144" t="s">
        <v>37</v>
      </c>
      <c r="P144" t="s">
        <v>28</v>
      </c>
      <c r="Q144" t="s">
        <v>29</v>
      </c>
      <c r="R144" t="s">
        <v>23</v>
      </c>
      <c r="S144" t="s">
        <v>29</v>
      </c>
      <c r="T144" t="s">
        <v>24</v>
      </c>
      <c r="U144" t="s">
        <v>29</v>
      </c>
      <c r="V144" t="s">
        <v>23</v>
      </c>
    </row>
    <row r="145" spans="1:22">
      <c r="A145" t="s">
        <v>181</v>
      </c>
      <c r="B145" s="21">
        <v>61</v>
      </c>
      <c r="C145" s="21">
        <v>77292</v>
      </c>
      <c r="D145" s="21">
        <v>414</v>
      </c>
      <c r="E145" t="str">
        <f>VLOOKUP(Table13[[#This Row],[Credit_Score]],Table4[],2,TRUE)</f>
        <v>High Risk</v>
      </c>
      <c r="F145">
        <v>0.42319356442397099</v>
      </c>
      <c r="G145" t="str">
        <f>IF(Table13[[#This Row],[Credit_Utilization]]&lt;0.3,"Low Utilization",
IF(Table13[[#This Row],[Credit_Utilization]]&lt;0.7,"Moderate Utilization",
"High Utilization"))</f>
        <v>Moderate Utilization</v>
      </c>
      <c r="H145" s="21">
        <v>3</v>
      </c>
      <c r="I145" s="21">
        <v>1</v>
      </c>
      <c r="J145" s="21">
        <v>60348</v>
      </c>
      <c r="K145">
        <v>0.21283219211631099</v>
      </c>
      <c r="L145" t="str">
        <f>IF(Table13[[#This Row],[Debt_to_Income_Ratio]]&lt;0.3,"Low DTI", IF(Table13[[#This Row],[Debt_to_Income_Ratio]]&lt;0.5,"Moderate DTI", "High DTI"))</f>
        <v>Low DTI</v>
      </c>
      <c r="M145" t="s">
        <v>34</v>
      </c>
      <c r="N145" s="21">
        <v>0</v>
      </c>
      <c r="O145" t="s">
        <v>45</v>
      </c>
      <c r="P145" t="s">
        <v>38</v>
      </c>
      <c r="Q145" t="s">
        <v>29</v>
      </c>
      <c r="R145" t="s">
        <v>23</v>
      </c>
      <c r="S145" t="s">
        <v>24</v>
      </c>
      <c r="T145" t="s">
        <v>29</v>
      </c>
      <c r="U145" t="s">
        <v>29</v>
      </c>
      <c r="V145" t="s">
        <v>29</v>
      </c>
    </row>
    <row r="146" spans="1:22">
      <c r="A146" t="s">
        <v>182</v>
      </c>
      <c r="B146" s="21">
        <v>57</v>
      </c>
      <c r="C146" s="21">
        <v>107658</v>
      </c>
      <c r="D146" s="21">
        <v>694</v>
      </c>
      <c r="E146" t="str">
        <f>VLOOKUP(Table13[[#This Row],[Credit_Score]],Table4[],2,TRUE)</f>
        <v>Medium Risk</v>
      </c>
      <c r="F146">
        <v>0.84984832440870495</v>
      </c>
      <c r="G146" t="str">
        <f>IF(Table13[[#This Row],[Credit_Utilization]]&lt;0.3,"Low Utilization",
IF(Table13[[#This Row],[Credit_Utilization]]&lt;0.7,"Moderate Utilization",
"High Utilization"))</f>
        <v>High Utilization</v>
      </c>
      <c r="H146" s="21">
        <v>0</v>
      </c>
      <c r="I146" s="21">
        <v>0</v>
      </c>
      <c r="J146" s="21">
        <v>3494</v>
      </c>
      <c r="K146">
        <v>0.28043214411230399</v>
      </c>
      <c r="L146" t="str">
        <f>IF(Table13[[#This Row],[Debt_to_Income_Ratio]]&lt;0.3,"Low DTI", IF(Table13[[#This Row],[Debt_to_Income_Ratio]]&lt;0.5,"Moderate DTI", "High DTI"))</f>
        <v>Low DTI</v>
      </c>
      <c r="M146" t="s">
        <v>34</v>
      </c>
      <c r="N146" s="21">
        <v>7</v>
      </c>
      <c r="O146" t="s">
        <v>21</v>
      </c>
      <c r="P146" t="s">
        <v>28</v>
      </c>
      <c r="Q146" t="s">
        <v>29</v>
      </c>
      <c r="R146" t="s">
        <v>24</v>
      </c>
      <c r="S146" t="s">
        <v>29</v>
      </c>
      <c r="T146" t="s">
        <v>24</v>
      </c>
      <c r="U146" t="s">
        <v>23</v>
      </c>
      <c r="V146" t="s">
        <v>29</v>
      </c>
    </row>
    <row r="147" spans="1:22">
      <c r="A147" t="s">
        <v>183</v>
      </c>
      <c r="B147" s="21">
        <v>39</v>
      </c>
      <c r="C147" s="21">
        <v>41790</v>
      </c>
      <c r="D147" s="21">
        <v>681</v>
      </c>
      <c r="E147" t="str">
        <f>VLOOKUP(Table13[[#This Row],[Credit_Score]],Table4[],2,TRUE)</f>
        <v>Medium Risk</v>
      </c>
      <c r="F147">
        <v>0.65880341470822601</v>
      </c>
      <c r="G147" t="str">
        <f>IF(Table13[[#This Row],[Credit_Utilization]]&lt;0.3,"Low Utilization",
IF(Table13[[#This Row],[Credit_Utilization]]&lt;0.7,"Moderate Utilization",
"High Utilization"))</f>
        <v>Moderate Utilization</v>
      </c>
      <c r="H147" s="21">
        <v>1</v>
      </c>
      <c r="I147" s="21">
        <v>0</v>
      </c>
      <c r="J147" s="21">
        <v>17913</v>
      </c>
      <c r="K147">
        <v>0.44787236094678901</v>
      </c>
      <c r="L147" t="str">
        <f>IF(Table13[[#This Row],[Debt_to_Income_Ratio]]&lt;0.3,"Low DTI", IF(Table13[[#This Row],[Debt_to_Income_Ratio]]&lt;0.5,"Moderate DTI", "High DTI"))</f>
        <v>Moderate DTI</v>
      </c>
      <c r="M147" t="s">
        <v>50</v>
      </c>
      <c r="N147" s="21">
        <v>3</v>
      </c>
      <c r="O147" t="s">
        <v>21</v>
      </c>
      <c r="P147" t="s">
        <v>22</v>
      </c>
      <c r="Q147" t="s">
        <v>24</v>
      </c>
      <c r="R147" t="s">
        <v>23</v>
      </c>
      <c r="S147" t="s">
        <v>29</v>
      </c>
      <c r="T147" t="s">
        <v>23</v>
      </c>
      <c r="U147" t="s">
        <v>23</v>
      </c>
      <c r="V147" t="s">
        <v>24</v>
      </c>
    </row>
    <row r="148" spans="1:22">
      <c r="A148" t="s">
        <v>184</v>
      </c>
      <c r="B148" s="21">
        <v>44</v>
      </c>
      <c r="C148" s="21">
        <v>31364</v>
      </c>
      <c r="D148" s="21">
        <v>757</v>
      </c>
      <c r="E148" t="str">
        <f>VLOOKUP(Table13[[#This Row],[Credit_Score]],Table4[],2,TRUE)</f>
        <v>Low Risk</v>
      </c>
      <c r="F148">
        <v>0.59150746922964603</v>
      </c>
      <c r="G148" t="str">
        <f>IF(Table13[[#This Row],[Credit_Utilization]]&lt;0.3,"Low Utilization",
IF(Table13[[#This Row],[Credit_Utilization]]&lt;0.7,"Moderate Utilization",
"High Utilization"))</f>
        <v>Moderate Utilization</v>
      </c>
      <c r="H148" s="21">
        <v>6</v>
      </c>
      <c r="I148" s="21">
        <v>0</v>
      </c>
      <c r="J148" s="21">
        <v>10942</v>
      </c>
      <c r="K148">
        <v>0.260503780350342</v>
      </c>
      <c r="L148" t="str">
        <f>IF(Table13[[#This Row],[Debt_to_Income_Ratio]]&lt;0.3,"Low DTI", IF(Table13[[#This Row],[Debt_to_Income_Ratio]]&lt;0.5,"Moderate DTI", "High DTI"))</f>
        <v>Low DTI</v>
      </c>
      <c r="M148" t="s">
        <v>43</v>
      </c>
      <c r="N148" s="21">
        <v>2</v>
      </c>
      <c r="O148" t="s">
        <v>45</v>
      </c>
      <c r="P148" t="s">
        <v>53</v>
      </c>
      <c r="Q148" t="s">
        <v>23</v>
      </c>
      <c r="R148" t="s">
        <v>29</v>
      </c>
      <c r="S148" t="s">
        <v>23</v>
      </c>
      <c r="T148" t="s">
        <v>24</v>
      </c>
      <c r="U148" t="s">
        <v>23</v>
      </c>
      <c r="V148" t="s">
        <v>29</v>
      </c>
    </row>
    <row r="149" spans="1:22">
      <c r="A149" t="s">
        <v>185</v>
      </c>
      <c r="B149" s="21">
        <v>52</v>
      </c>
      <c r="C149" s="21">
        <v>129692</v>
      </c>
      <c r="D149" s="21">
        <v>826</v>
      </c>
      <c r="E149" t="str">
        <f>VLOOKUP(Table13[[#This Row],[Credit_Score]],Table4[],2,TRUE)</f>
        <v>Low Risk</v>
      </c>
      <c r="F149">
        <v>0.26128061793579999</v>
      </c>
      <c r="G149" t="str">
        <f>IF(Table13[[#This Row],[Credit_Utilization]]&lt;0.3,"Low Utilization",
IF(Table13[[#This Row],[Credit_Utilization]]&lt;0.7,"Moderate Utilization",
"High Utilization"))</f>
        <v>Low Utilization</v>
      </c>
      <c r="H149" s="21">
        <v>4</v>
      </c>
      <c r="I149" s="21">
        <v>1</v>
      </c>
      <c r="J149" s="21">
        <v>5539</v>
      </c>
      <c r="K149">
        <v>0.35753388641155798</v>
      </c>
      <c r="L149" t="str">
        <f>IF(Table13[[#This Row],[Debt_to_Income_Ratio]]&lt;0.3,"Low DTI", IF(Table13[[#This Row],[Debt_to_Income_Ratio]]&lt;0.5,"Moderate DTI", "High DTI"))</f>
        <v>Moderate DTI</v>
      </c>
      <c r="M149" t="s">
        <v>26</v>
      </c>
      <c r="N149" s="21">
        <v>2</v>
      </c>
      <c r="O149" t="s">
        <v>37</v>
      </c>
      <c r="P149" t="s">
        <v>22</v>
      </c>
      <c r="Q149" t="s">
        <v>24</v>
      </c>
      <c r="R149" t="s">
        <v>23</v>
      </c>
      <c r="S149" t="s">
        <v>24</v>
      </c>
      <c r="T149" t="s">
        <v>23</v>
      </c>
      <c r="U149" t="s">
        <v>23</v>
      </c>
      <c r="V149" t="s">
        <v>23</v>
      </c>
    </row>
    <row r="150" spans="1:22">
      <c r="A150" t="s">
        <v>186</v>
      </c>
      <c r="B150" s="21">
        <v>18</v>
      </c>
      <c r="C150" s="21">
        <v>15404</v>
      </c>
      <c r="D150" s="21">
        <v>588</v>
      </c>
      <c r="E150" t="str">
        <f>VLOOKUP(Table13[[#This Row],[Credit_Score]],Table4[],2,TRUE)</f>
        <v>High Risk</v>
      </c>
      <c r="F150">
        <v>0.68704763227992505</v>
      </c>
      <c r="G150" t="str">
        <f>IF(Table13[[#This Row],[Credit_Utilization]]&lt;0.3,"Low Utilization",
IF(Table13[[#This Row],[Credit_Utilization]]&lt;0.7,"Moderate Utilization",
"High Utilization"))</f>
        <v>Moderate Utilization</v>
      </c>
      <c r="H150" s="21">
        <v>4</v>
      </c>
      <c r="I150" s="21">
        <v>0</v>
      </c>
      <c r="J150" s="21">
        <v>91432</v>
      </c>
      <c r="K150">
        <v>0.37270800204509502</v>
      </c>
      <c r="L150" t="str">
        <f>IF(Table13[[#This Row],[Debt_to_Income_Ratio]]&lt;0.3,"Low DTI", IF(Table13[[#This Row],[Debt_to_Income_Ratio]]&lt;0.5,"Moderate DTI", "High DTI"))</f>
        <v>Moderate DTI</v>
      </c>
      <c r="M150" t="s">
        <v>43</v>
      </c>
      <c r="N150" s="21">
        <v>12</v>
      </c>
      <c r="O150" t="s">
        <v>21</v>
      </c>
      <c r="P150" t="s">
        <v>38</v>
      </c>
      <c r="Q150" t="s">
        <v>29</v>
      </c>
      <c r="R150" t="s">
        <v>29</v>
      </c>
      <c r="S150" t="s">
        <v>29</v>
      </c>
      <c r="T150" t="s">
        <v>23</v>
      </c>
      <c r="U150" t="s">
        <v>29</v>
      </c>
      <c r="V150" t="s">
        <v>29</v>
      </c>
    </row>
    <row r="151" spans="1:22">
      <c r="A151" t="s">
        <v>187</v>
      </c>
      <c r="B151" s="21">
        <v>52</v>
      </c>
      <c r="C151" s="21">
        <v>32955</v>
      </c>
      <c r="D151" s="21">
        <v>302</v>
      </c>
      <c r="E151" t="str">
        <f>VLOOKUP(Table13[[#This Row],[Credit_Score]],Table4[],2,TRUE)</f>
        <v>High Risk</v>
      </c>
      <c r="F151">
        <v>0.40124588445030002</v>
      </c>
      <c r="G151" t="str">
        <f>IF(Table13[[#This Row],[Credit_Utilization]]&lt;0.3,"Low Utilization",
IF(Table13[[#This Row],[Credit_Utilization]]&lt;0.7,"Moderate Utilization",
"High Utilization"))</f>
        <v>Moderate Utilization</v>
      </c>
      <c r="H151" s="21">
        <v>0</v>
      </c>
      <c r="I151" s="21">
        <v>0</v>
      </c>
      <c r="J151" s="21">
        <v>19796</v>
      </c>
      <c r="K151">
        <v>0.34432732980064001</v>
      </c>
      <c r="L151" t="str">
        <f>IF(Table13[[#This Row],[Debt_to_Income_Ratio]]&lt;0.3,"Low DTI", IF(Table13[[#This Row],[Debt_to_Income_Ratio]]&lt;0.5,"Moderate DTI", "High DTI"))</f>
        <v>Moderate DTI</v>
      </c>
      <c r="M151" t="s">
        <v>43</v>
      </c>
      <c r="N151" s="21">
        <v>7</v>
      </c>
      <c r="O151" t="s">
        <v>45</v>
      </c>
      <c r="P151" t="s">
        <v>53</v>
      </c>
      <c r="Q151" t="s">
        <v>23</v>
      </c>
      <c r="R151" t="s">
        <v>29</v>
      </c>
      <c r="S151" t="s">
        <v>29</v>
      </c>
      <c r="T151" t="s">
        <v>23</v>
      </c>
      <c r="U151" t="s">
        <v>29</v>
      </c>
      <c r="V151" t="s">
        <v>23</v>
      </c>
    </row>
    <row r="152" spans="1:22">
      <c r="A152" t="s">
        <v>188</v>
      </c>
      <c r="B152" s="21">
        <v>54</v>
      </c>
      <c r="C152" s="21">
        <v>53513</v>
      </c>
      <c r="D152" s="21">
        <v>328</v>
      </c>
      <c r="E152" t="str">
        <f>VLOOKUP(Table13[[#This Row],[Credit_Score]],Table4[],2,TRUE)</f>
        <v>High Risk</v>
      </c>
      <c r="F152">
        <v>0.26111204839885999</v>
      </c>
      <c r="G152" t="str">
        <f>IF(Table13[[#This Row],[Credit_Utilization]]&lt;0.3,"Low Utilization",
IF(Table13[[#This Row],[Credit_Utilization]]&lt;0.7,"Moderate Utilization",
"High Utilization"))</f>
        <v>Low Utilization</v>
      </c>
      <c r="H152" s="21">
        <v>5</v>
      </c>
      <c r="I152" s="21">
        <v>0</v>
      </c>
      <c r="J152" s="21">
        <v>95276</v>
      </c>
      <c r="K152">
        <v>0.42710716496742601</v>
      </c>
      <c r="L152" t="str">
        <f>IF(Table13[[#This Row],[Debt_to_Income_Ratio]]&lt;0.3,"Low DTI", IF(Table13[[#This Row],[Debt_to_Income_Ratio]]&lt;0.5,"Moderate DTI", "High DTI"))</f>
        <v>Moderate DTI</v>
      </c>
      <c r="M152" t="s">
        <v>43</v>
      </c>
      <c r="N152" s="21">
        <v>6</v>
      </c>
      <c r="O152" t="s">
        <v>37</v>
      </c>
      <c r="P152" t="s">
        <v>32</v>
      </c>
      <c r="Q152" t="s">
        <v>29</v>
      </c>
      <c r="R152" t="s">
        <v>23</v>
      </c>
      <c r="S152" t="s">
        <v>23</v>
      </c>
      <c r="T152" t="s">
        <v>24</v>
      </c>
      <c r="U152" t="s">
        <v>23</v>
      </c>
      <c r="V152" t="s">
        <v>24</v>
      </c>
    </row>
    <row r="153" spans="1:22">
      <c r="A153" t="s">
        <v>189</v>
      </c>
      <c r="B153" s="21">
        <v>64</v>
      </c>
      <c r="C153" s="21">
        <v>189197</v>
      </c>
      <c r="D153" s="21">
        <v>524</v>
      </c>
      <c r="E153" t="str">
        <f>VLOOKUP(Table13[[#This Row],[Credit_Score]],Table4[],2,TRUE)</f>
        <v>High Risk</v>
      </c>
      <c r="F153">
        <v>0.60256872261587502</v>
      </c>
      <c r="G153" t="str">
        <f>IF(Table13[[#This Row],[Credit_Utilization]]&lt;0.3,"Low Utilization",
IF(Table13[[#This Row],[Credit_Utilization]]&lt;0.7,"Moderate Utilization",
"High Utilization"))</f>
        <v>Moderate Utilization</v>
      </c>
      <c r="H153" s="21">
        <v>1</v>
      </c>
      <c r="I153" s="21">
        <v>1</v>
      </c>
      <c r="J153" s="21">
        <v>6118</v>
      </c>
      <c r="K153">
        <v>0.22928839953677199</v>
      </c>
      <c r="L153" t="str">
        <f>IF(Table13[[#This Row],[Debt_to_Income_Ratio]]&lt;0.3,"Low DTI", IF(Table13[[#This Row],[Debt_to_Income_Ratio]]&lt;0.5,"Moderate DTI", "High DTI"))</f>
        <v>Low DTI</v>
      </c>
      <c r="M153" t="s">
        <v>34</v>
      </c>
      <c r="N153" s="21">
        <v>0</v>
      </c>
      <c r="O153" t="s">
        <v>45</v>
      </c>
      <c r="P153" t="s">
        <v>28</v>
      </c>
      <c r="Q153" t="s">
        <v>29</v>
      </c>
      <c r="R153" t="s">
        <v>24</v>
      </c>
      <c r="S153" t="s">
        <v>29</v>
      </c>
      <c r="T153" t="s">
        <v>23</v>
      </c>
      <c r="U153" t="s">
        <v>29</v>
      </c>
      <c r="V153" t="s">
        <v>23</v>
      </c>
    </row>
    <row r="154" spans="1:22">
      <c r="A154" t="s">
        <v>190</v>
      </c>
      <c r="B154" s="21">
        <v>31</v>
      </c>
      <c r="C154" s="21">
        <v>97986</v>
      </c>
      <c r="D154" s="21">
        <v>326</v>
      </c>
      <c r="E154" t="str">
        <f>VLOOKUP(Table13[[#This Row],[Credit_Score]],Table4[],2,TRUE)</f>
        <v>High Risk</v>
      </c>
      <c r="F154">
        <v>0.222410787886692</v>
      </c>
      <c r="G154" t="str">
        <f>IF(Table13[[#This Row],[Credit_Utilization]]&lt;0.3,"Low Utilization",
IF(Table13[[#This Row],[Credit_Utilization]]&lt;0.7,"Moderate Utilization",
"High Utilization"))</f>
        <v>Low Utilization</v>
      </c>
      <c r="H154" s="21">
        <v>2</v>
      </c>
      <c r="I154" s="21">
        <v>0</v>
      </c>
      <c r="J154" s="21">
        <v>34897</v>
      </c>
      <c r="K154">
        <v>0.19566651569496599</v>
      </c>
      <c r="L154" t="str">
        <f>IF(Table13[[#This Row],[Debt_to_Income_Ratio]]&lt;0.3,"Low DTI", IF(Table13[[#This Row],[Debt_to_Income_Ratio]]&lt;0.5,"Moderate DTI", "High DTI"))</f>
        <v>Low DTI</v>
      </c>
      <c r="M154" t="s">
        <v>34</v>
      </c>
      <c r="N154" s="21">
        <v>15</v>
      </c>
      <c r="O154" t="s">
        <v>45</v>
      </c>
      <c r="P154" t="s">
        <v>22</v>
      </c>
      <c r="Q154" t="s">
        <v>29</v>
      </c>
      <c r="R154" t="s">
        <v>23</v>
      </c>
      <c r="S154" t="s">
        <v>24</v>
      </c>
      <c r="T154" t="s">
        <v>29</v>
      </c>
      <c r="U154" t="s">
        <v>24</v>
      </c>
      <c r="V154" t="s">
        <v>24</v>
      </c>
    </row>
    <row r="155" spans="1:22">
      <c r="A155" t="s">
        <v>191</v>
      </c>
      <c r="B155" s="21">
        <v>20</v>
      </c>
      <c r="C155" s="21">
        <v>107658</v>
      </c>
      <c r="D155" s="21">
        <v>718</v>
      </c>
      <c r="E155" t="str">
        <f>VLOOKUP(Table13[[#This Row],[Credit_Score]],Table4[],2,TRUE)</f>
        <v>Medium Risk</v>
      </c>
      <c r="F155">
        <v>0.34755170757408299</v>
      </c>
      <c r="G155" t="str">
        <f>IF(Table13[[#This Row],[Credit_Utilization]]&lt;0.3,"Low Utilization",
IF(Table13[[#This Row],[Credit_Utilization]]&lt;0.7,"Moderate Utilization",
"High Utilization"))</f>
        <v>Moderate Utilization</v>
      </c>
      <c r="H155" s="21">
        <v>5</v>
      </c>
      <c r="I155" s="21">
        <v>0</v>
      </c>
      <c r="J155" s="21">
        <v>39006</v>
      </c>
      <c r="K155">
        <v>0.19370333439750001</v>
      </c>
      <c r="L155" t="str">
        <f>IF(Table13[[#This Row],[Debt_to_Income_Ratio]]&lt;0.3,"Low DTI", IF(Table13[[#This Row],[Debt_to_Income_Ratio]]&lt;0.5,"Moderate DTI", "High DTI"))</f>
        <v>Low DTI</v>
      </c>
      <c r="M155" t="s">
        <v>34</v>
      </c>
      <c r="N155" s="21">
        <v>5</v>
      </c>
      <c r="O155" t="s">
        <v>21</v>
      </c>
      <c r="P155" t="s">
        <v>38</v>
      </c>
      <c r="Q155" t="s">
        <v>29</v>
      </c>
      <c r="R155" t="s">
        <v>24</v>
      </c>
      <c r="S155" t="s">
        <v>24</v>
      </c>
      <c r="T155" t="s">
        <v>23</v>
      </c>
      <c r="U155" t="s">
        <v>23</v>
      </c>
      <c r="V155" t="s">
        <v>24</v>
      </c>
    </row>
    <row r="156" spans="1:22">
      <c r="A156" t="s">
        <v>192</v>
      </c>
      <c r="B156" s="21">
        <v>18</v>
      </c>
      <c r="C156" s="21">
        <v>116570</v>
      </c>
      <c r="D156" s="21">
        <v>823</v>
      </c>
      <c r="E156" t="str">
        <f>VLOOKUP(Table13[[#This Row],[Credit_Score]],Table4[],2,TRUE)</f>
        <v>Low Risk</v>
      </c>
      <c r="F156">
        <v>0.49797681770621699</v>
      </c>
      <c r="G156" t="str">
        <f>IF(Table13[[#This Row],[Credit_Utilization]]&lt;0.3,"Low Utilization",
IF(Table13[[#This Row],[Credit_Utilization]]&lt;0.7,"Moderate Utilization",
"High Utilization"))</f>
        <v>Moderate Utilization</v>
      </c>
      <c r="H156" s="21">
        <v>5</v>
      </c>
      <c r="I156" s="21">
        <v>0</v>
      </c>
      <c r="J156" s="21">
        <v>36342</v>
      </c>
      <c r="K156">
        <v>0.28555315847002</v>
      </c>
      <c r="L156" t="str">
        <f>IF(Table13[[#This Row],[Debt_to_Income_Ratio]]&lt;0.3,"Low DTI", IF(Table13[[#This Row],[Debt_to_Income_Ratio]]&lt;0.5,"Moderate DTI", "High DTI"))</f>
        <v>Low DTI</v>
      </c>
      <c r="M156" t="s">
        <v>43</v>
      </c>
      <c r="N156" s="21">
        <v>6</v>
      </c>
      <c r="O156" t="s">
        <v>37</v>
      </c>
      <c r="P156" t="s">
        <v>32</v>
      </c>
      <c r="Q156" t="s">
        <v>24</v>
      </c>
      <c r="R156" t="s">
        <v>24</v>
      </c>
      <c r="S156" t="s">
        <v>24</v>
      </c>
      <c r="T156" t="s">
        <v>23</v>
      </c>
      <c r="U156" t="s">
        <v>23</v>
      </c>
      <c r="V156" t="s">
        <v>23</v>
      </c>
    </row>
    <row r="157" spans="1:22">
      <c r="A157" t="s">
        <v>193</v>
      </c>
      <c r="B157" s="21">
        <v>22</v>
      </c>
      <c r="C157" s="21">
        <v>119185</v>
      </c>
      <c r="D157" s="21">
        <v>711</v>
      </c>
      <c r="E157" t="str">
        <f>VLOOKUP(Table13[[#This Row],[Credit_Score]],Table4[],2,TRUE)</f>
        <v>Medium Risk</v>
      </c>
      <c r="F157">
        <v>0.94368428482294497</v>
      </c>
      <c r="G157" t="str">
        <f>IF(Table13[[#This Row],[Credit_Utilization]]&lt;0.3,"Low Utilization",
IF(Table13[[#This Row],[Credit_Utilization]]&lt;0.7,"Moderate Utilization",
"High Utilization"))</f>
        <v>High Utilization</v>
      </c>
      <c r="H157" s="21">
        <v>0</v>
      </c>
      <c r="I157" s="21">
        <v>0</v>
      </c>
      <c r="J157" s="21">
        <v>44454</v>
      </c>
      <c r="K157">
        <v>0.20529533421594701</v>
      </c>
      <c r="L157" t="str">
        <f>IF(Table13[[#This Row],[Debt_to_Income_Ratio]]&lt;0.3,"Low DTI", IF(Table13[[#This Row],[Debt_to_Income_Ratio]]&lt;0.5,"Moderate DTI", "High DTI"))</f>
        <v>Low DTI</v>
      </c>
      <c r="M157" t="s">
        <v>43</v>
      </c>
      <c r="N157" s="21">
        <v>11</v>
      </c>
      <c r="O157" t="s">
        <v>21</v>
      </c>
      <c r="P157" t="s">
        <v>28</v>
      </c>
      <c r="Q157" t="s">
        <v>23</v>
      </c>
      <c r="R157" t="s">
        <v>24</v>
      </c>
      <c r="S157" t="s">
        <v>29</v>
      </c>
      <c r="T157" t="s">
        <v>23</v>
      </c>
      <c r="U157" t="s">
        <v>24</v>
      </c>
      <c r="V157" t="s">
        <v>24</v>
      </c>
    </row>
    <row r="158" spans="1:22">
      <c r="A158" t="s">
        <v>194</v>
      </c>
      <c r="B158" s="21">
        <v>43</v>
      </c>
      <c r="C158" s="21">
        <v>136465</v>
      </c>
      <c r="D158" s="21">
        <v>823</v>
      </c>
      <c r="E158" t="str">
        <f>VLOOKUP(Table13[[#This Row],[Credit_Score]],Table4[],2,TRUE)</f>
        <v>Low Risk</v>
      </c>
      <c r="F158">
        <v>0.36261684884150203</v>
      </c>
      <c r="G158" t="str">
        <f>IF(Table13[[#This Row],[Credit_Utilization]]&lt;0.3,"Low Utilization",
IF(Table13[[#This Row],[Credit_Utilization]]&lt;0.7,"Moderate Utilization",
"High Utilization"))</f>
        <v>Moderate Utilization</v>
      </c>
      <c r="H158" s="21">
        <v>0</v>
      </c>
      <c r="I158" s="21">
        <v>0</v>
      </c>
      <c r="J158" s="21">
        <v>92381</v>
      </c>
      <c r="K158">
        <v>0.31475409118653203</v>
      </c>
      <c r="L158" t="str">
        <f>IF(Table13[[#This Row],[Debt_to_Income_Ratio]]&lt;0.3,"Low DTI", IF(Table13[[#This Row],[Debt_to_Income_Ratio]]&lt;0.5,"Moderate DTI", "High DTI"))</f>
        <v>Moderate DTI</v>
      </c>
      <c r="M158" t="s">
        <v>43</v>
      </c>
      <c r="N158" s="21">
        <v>8</v>
      </c>
      <c r="O158" t="s">
        <v>27</v>
      </c>
      <c r="P158" t="s">
        <v>32</v>
      </c>
      <c r="Q158" t="s">
        <v>29</v>
      </c>
      <c r="R158" t="s">
        <v>23</v>
      </c>
      <c r="S158" t="s">
        <v>23</v>
      </c>
      <c r="T158" t="s">
        <v>23</v>
      </c>
      <c r="U158" t="s">
        <v>23</v>
      </c>
      <c r="V158" t="s">
        <v>24</v>
      </c>
    </row>
    <row r="159" spans="1:22">
      <c r="A159" t="s">
        <v>195</v>
      </c>
      <c r="B159" s="21">
        <v>72</v>
      </c>
      <c r="C159" s="21">
        <v>21801</v>
      </c>
      <c r="D159" s="21">
        <v>805</v>
      </c>
      <c r="E159" t="str">
        <f>VLOOKUP(Table13[[#This Row],[Credit_Score]],Table4[],2,TRUE)</f>
        <v>Low Risk</v>
      </c>
      <c r="F159">
        <v>0.40835669613988401</v>
      </c>
      <c r="G159" t="str">
        <f>IF(Table13[[#This Row],[Credit_Utilization]]&lt;0.3,"Low Utilization",
IF(Table13[[#This Row],[Credit_Utilization]]&lt;0.7,"Moderate Utilization",
"High Utilization"))</f>
        <v>Moderate Utilization</v>
      </c>
      <c r="H159" s="21">
        <v>4</v>
      </c>
      <c r="I159" s="21">
        <v>1</v>
      </c>
      <c r="J159" s="21">
        <v>95267</v>
      </c>
      <c r="K159">
        <v>0.30769884197248898</v>
      </c>
      <c r="L159" t="str">
        <f>IF(Table13[[#This Row],[Debt_to_Income_Ratio]]&lt;0.3,"Low DTI", IF(Table13[[#This Row],[Debt_to_Income_Ratio]]&lt;0.5,"Moderate DTI", "High DTI"))</f>
        <v>Moderate DTI</v>
      </c>
      <c r="M159" t="s">
        <v>50</v>
      </c>
      <c r="N159" s="21">
        <v>10</v>
      </c>
      <c r="O159" t="s">
        <v>27</v>
      </c>
      <c r="P159" t="s">
        <v>28</v>
      </c>
      <c r="Q159" t="s">
        <v>29</v>
      </c>
      <c r="R159" t="s">
        <v>29</v>
      </c>
      <c r="S159" t="s">
        <v>23</v>
      </c>
      <c r="T159" t="s">
        <v>23</v>
      </c>
      <c r="U159" t="s">
        <v>24</v>
      </c>
      <c r="V159" t="s">
        <v>24</v>
      </c>
    </row>
    <row r="160" spans="1:22">
      <c r="A160" t="s">
        <v>196</v>
      </c>
      <c r="B160" s="21">
        <v>31</v>
      </c>
      <c r="C160" s="21">
        <v>15404</v>
      </c>
      <c r="D160" s="21">
        <v>316</v>
      </c>
      <c r="E160" t="str">
        <f>VLOOKUP(Table13[[#This Row],[Credit_Score]],Table4[],2,TRUE)</f>
        <v>High Risk</v>
      </c>
      <c r="F160">
        <v>0.64646901088432895</v>
      </c>
      <c r="G160" t="str">
        <f>IF(Table13[[#This Row],[Credit_Utilization]]&lt;0.3,"Low Utilization",
IF(Table13[[#This Row],[Credit_Utilization]]&lt;0.7,"Moderate Utilization",
"High Utilization"))</f>
        <v>Moderate Utilization</v>
      </c>
      <c r="H160" s="21">
        <v>0</v>
      </c>
      <c r="I160" s="21">
        <v>0</v>
      </c>
      <c r="J160" s="21">
        <v>71791</v>
      </c>
      <c r="K160">
        <v>0.40185733031860399</v>
      </c>
      <c r="L160" t="str">
        <f>IF(Table13[[#This Row],[Debt_to_Income_Ratio]]&lt;0.3,"Low DTI", IF(Table13[[#This Row],[Debt_to_Income_Ratio]]&lt;0.5,"Moderate DTI", "High DTI"))</f>
        <v>Moderate DTI</v>
      </c>
      <c r="M160" t="s">
        <v>26</v>
      </c>
      <c r="N160" s="21">
        <v>9</v>
      </c>
      <c r="O160" t="s">
        <v>37</v>
      </c>
      <c r="P160" t="s">
        <v>53</v>
      </c>
      <c r="Q160" t="s">
        <v>23</v>
      </c>
      <c r="R160" t="s">
        <v>29</v>
      </c>
      <c r="S160" t="s">
        <v>29</v>
      </c>
      <c r="T160" t="s">
        <v>29</v>
      </c>
      <c r="U160" t="s">
        <v>24</v>
      </c>
      <c r="V160" t="s">
        <v>29</v>
      </c>
    </row>
    <row r="161" spans="1:22">
      <c r="A161" t="s">
        <v>197</v>
      </c>
      <c r="B161" s="21">
        <v>56</v>
      </c>
      <c r="C161" s="21">
        <v>54081</v>
      </c>
      <c r="D161" s="21">
        <v>566</v>
      </c>
      <c r="E161" t="str">
        <f>VLOOKUP(Table13[[#This Row],[Credit_Score]],Table4[],2,TRUE)</f>
        <v>High Risk</v>
      </c>
      <c r="F161">
        <v>0.25234086232479003</v>
      </c>
      <c r="G161" t="str">
        <f>IF(Table13[[#This Row],[Credit_Utilization]]&lt;0.3,"Low Utilization",
IF(Table13[[#This Row],[Credit_Utilization]]&lt;0.7,"Moderate Utilization",
"High Utilization"))</f>
        <v>Low Utilization</v>
      </c>
      <c r="H161" s="21">
        <v>0</v>
      </c>
      <c r="I161" s="21">
        <v>0</v>
      </c>
      <c r="J161" s="21">
        <v>43927</v>
      </c>
      <c r="K161">
        <v>0.32911443082360398</v>
      </c>
      <c r="L161" t="str">
        <f>IF(Table13[[#This Row],[Debt_to_Income_Ratio]]&lt;0.3,"Low DTI", IF(Table13[[#This Row],[Debt_to_Income_Ratio]]&lt;0.5,"Moderate DTI", "High DTI"))</f>
        <v>Moderate DTI</v>
      </c>
      <c r="M161" t="s">
        <v>43</v>
      </c>
      <c r="N161" s="21">
        <v>0</v>
      </c>
      <c r="O161" t="s">
        <v>45</v>
      </c>
      <c r="P161" t="s">
        <v>32</v>
      </c>
      <c r="Q161" t="s">
        <v>29</v>
      </c>
      <c r="R161" t="s">
        <v>23</v>
      </c>
      <c r="S161" t="s">
        <v>24</v>
      </c>
      <c r="T161" t="s">
        <v>29</v>
      </c>
      <c r="U161" t="s">
        <v>23</v>
      </c>
      <c r="V161" t="s">
        <v>29</v>
      </c>
    </row>
    <row r="162" spans="1:22">
      <c r="A162" t="s">
        <v>198</v>
      </c>
      <c r="B162" s="21">
        <v>44</v>
      </c>
      <c r="C162" s="21">
        <v>74494</v>
      </c>
      <c r="D162" s="21">
        <v>319</v>
      </c>
      <c r="E162" t="str">
        <f>VLOOKUP(Table13[[#This Row],[Credit_Score]],Table4[],2,TRUE)</f>
        <v>High Risk</v>
      </c>
      <c r="F162">
        <v>0.58856127620418297</v>
      </c>
      <c r="G162" t="str">
        <f>IF(Table13[[#This Row],[Credit_Utilization]]&lt;0.3,"Low Utilization",
IF(Table13[[#This Row],[Credit_Utilization]]&lt;0.7,"Moderate Utilization",
"High Utilization"))</f>
        <v>Moderate Utilization</v>
      </c>
      <c r="H162" s="21">
        <v>0</v>
      </c>
      <c r="I162" s="21">
        <v>0</v>
      </c>
      <c r="J162" s="21">
        <v>48397</v>
      </c>
      <c r="K162">
        <v>0.25838481441385502</v>
      </c>
      <c r="L162" t="str">
        <f>IF(Table13[[#This Row],[Debt_to_Income_Ratio]]&lt;0.3,"Low DTI", IF(Table13[[#This Row],[Debt_to_Income_Ratio]]&lt;0.5,"Moderate DTI", "High DTI"))</f>
        <v>Low DTI</v>
      </c>
      <c r="M162" t="s">
        <v>43</v>
      </c>
      <c r="N162" s="21">
        <v>17</v>
      </c>
      <c r="O162" t="s">
        <v>21</v>
      </c>
      <c r="P162" t="s">
        <v>32</v>
      </c>
      <c r="Q162" t="s">
        <v>29</v>
      </c>
      <c r="R162" t="s">
        <v>23</v>
      </c>
      <c r="S162" t="s">
        <v>24</v>
      </c>
      <c r="T162" t="s">
        <v>29</v>
      </c>
      <c r="U162" t="s">
        <v>29</v>
      </c>
      <c r="V162" t="s">
        <v>23</v>
      </c>
    </row>
    <row r="163" spans="1:22">
      <c r="A163" t="s">
        <v>199</v>
      </c>
      <c r="B163" s="21">
        <v>26</v>
      </c>
      <c r="C163" s="21">
        <v>89740</v>
      </c>
      <c r="D163" s="21">
        <v>385</v>
      </c>
      <c r="E163" t="str">
        <f>VLOOKUP(Table13[[#This Row],[Credit_Score]],Table4[],2,TRUE)</f>
        <v>High Risk</v>
      </c>
      <c r="F163">
        <v>0.74118536152331704</v>
      </c>
      <c r="G163" t="str">
        <f>IF(Table13[[#This Row],[Credit_Utilization]]&lt;0.3,"Low Utilization",
IF(Table13[[#This Row],[Credit_Utilization]]&lt;0.7,"Moderate Utilization",
"High Utilization"))</f>
        <v>High Utilization</v>
      </c>
      <c r="H163" s="21">
        <v>4</v>
      </c>
      <c r="I163" s="21">
        <v>0</v>
      </c>
      <c r="J163" s="21">
        <v>96485</v>
      </c>
      <c r="K163">
        <v>0.34108492044326799</v>
      </c>
      <c r="L163" t="str">
        <f>IF(Table13[[#This Row],[Debt_to_Income_Ratio]]&lt;0.3,"Low DTI", IF(Table13[[#This Row],[Debt_to_Income_Ratio]]&lt;0.5,"Moderate DTI", "High DTI"))</f>
        <v>Moderate DTI</v>
      </c>
      <c r="M163" t="s">
        <v>50</v>
      </c>
      <c r="N163" s="21">
        <v>3</v>
      </c>
      <c r="O163" t="s">
        <v>21</v>
      </c>
      <c r="P163" t="s">
        <v>32</v>
      </c>
      <c r="Q163" t="s">
        <v>23</v>
      </c>
      <c r="R163" t="s">
        <v>24</v>
      </c>
      <c r="S163" t="s">
        <v>24</v>
      </c>
      <c r="T163" t="s">
        <v>23</v>
      </c>
      <c r="U163" t="s">
        <v>29</v>
      </c>
      <c r="V163" t="s">
        <v>23</v>
      </c>
    </row>
    <row r="164" spans="1:22">
      <c r="A164" t="s">
        <v>200</v>
      </c>
      <c r="B164" s="21">
        <v>32</v>
      </c>
      <c r="C164" s="21">
        <v>116570</v>
      </c>
      <c r="D164" s="21">
        <v>402</v>
      </c>
      <c r="E164" t="str">
        <f>VLOOKUP(Table13[[#This Row],[Credit_Score]],Table4[],2,TRUE)</f>
        <v>High Risk</v>
      </c>
      <c r="F164">
        <v>0.43858102305777902</v>
      </c>
      <c r="G164" t="str">
        <f>IF(Table13[[#This Row],[Credit_Utilization]]&lt;0.3,"Low Utilization",
IF(Table13[[#This Row],[Credit_Utilization]]&lt;0.7,"Moderate Utilization",
"High Utilization"))</f>
        <v>Moderate Utilization</v>
      </c>
      <c r="H164" s="21">
        <v>2</v>
      </c>
      <c r="I164" s="21">
        <v>0</v>
      </c>
      <c r="J164" s="21">
        <v>26000</v>
      </c>
      <c r="K164">
        <v>0.19698059801020501</v>
      </c>
      <c r="L164" t="str">
        <f>IF(Table13[[#This Row],[Debt_to_Income_Ratio]]&lt;0.3,"Low DTI", IF(Table13[[#This Row],[Debt_to_Income_Ratio]]&lt;0.5,"Moderate DTI", "High DTI"))</f>
        <v>Low DTI</v>
      </c>
      <c r="M164" t="s">
        <v>50</v>
      </c>
      <c r="N164" s="21">
        <v>4</v>
      </c>
      <c r="O164" t="s">
        <v>37</v>
      </c>
      <c r="P164" t="s">
        <v>53</v>
      </c>
      <c r="Q164" t="s">
        <v>24</v>
      </c>
      <c r="R164" t="s">
        <v>24</v>
      </c>
      <c r="S164" t="s">
        <v>29</v>
      </c>
      <c r="T164" t="s">
        <v>23</v>
      </c>
      <c r="U164" t="s">
        <v>23</v>
      </c>
      <c r="V164" t="s">
        <v>23</v>
      </c>
    </row>
    <row r="165" spans="1:22">
      <c r="A165" t="s">
        <v>201</v>
      </c>
      <c r="B165" s="21">
        <v>32</v>
      </c>
      <c r="C165" s="21">
        <v>117795</v>
      </c>
      <c r="D165" s="21">
        <v>670</v>
      </c>
      <c r="E165" t="str">
        <f>VLOOKUP(Table13[[#This Row],[Credit_Score]],Table4[],2,TRUE)</f>
        <v>Medium Risk</v>
      </c>
      <c r="F165">
        <v>0.70523085627937299</v>
      </c>
      <c r="G165" t="str">
        <f>IF(Table13[[#This Row],[Credit_Utilization]]&lt;0.3,"Low Utilization",
IF(Table13[[#This Row],[Credit_Utilization]]&lt;0.7,"Moderate Utilization",
"High Utilization"))</f>
        <v>High Utilization</v>
      </c>
      <c r="H165" s="21">
        <v>2</v>
      </c>
      <c r="I165" s="21">
        <v>1</v>
      </c>
      <c r="J165" s="21">
        <v>14417</v>
      </c>
      <c r="K165">
        <v>0.29618593119756798</v>
      </c>
      <c r="L165" t="str">
        <f>IF(Table13[[#This Row],[Debt_to_Income_Ratio]]&lt;0.3,"Low DTI", IF(Table13[[#This Row],[Debt_to_Income_Ratio]]&lt;0.5,"Moderate DTI", "High DTI"))</f>
        <v>Low DTI</v>
      </c>
      <c r="M165" t="s">
        <v>50</v>
      </c>
      <c r="N165" s="21">
        <v>8</v>
      </c>
      <c r="O165" t="s">
        <v>37</v>
      </c>
      <c r="P165" t="s">
        <v>38</v>
      </c>
      <c r="Q165" t="s">
        <v>24</v>
      </c>
      <c r="R165" t="s">
        <v>24</v>
      </c>
      <c r="S165" t="s">
        <v>29</v>
      </c>
      <c r="T165" t="s">
        <v>24</v>
      </c>
      <c r="U165" t="s">
        <v>29</v>
      </c>
      <c r="V165" t="s">
        <v>29</v>
      </c>
    </row>
    <row r="166" spans="1:22">
      <c r="A166" t="s">
        <v>202</v>
      </c>
      <c r="B166" s="21">
        <v>43</v>
      </c>
      <c r="C166" s="21">
        <v>97844</v>
      </c>
      <c r="D166" s="21">
        <v>391</v>
      </c>
      <c r="E166" t="str">
        <f>VLOOKUP(Table13[[#This Row],[Credit_Score]],Table4[],2,TRUE)</f>
        <v>High Risk</v>
      </c>
      <c r="F166">
        <v>0.55828998464236101</v>
      </c>
      <c r="G166" t="str">
        <f>IF(Table13[[#This Row],[Credit_Utilization]]&lt;0.3,"Low Utilization",
IF(Table13[[#This Row],[Credit_Utilization]]&lt;0.7,"Moderate Utilization",
"High Utilization"))</f>
        <v>Moderate Utilization</v>
      </c>
      <c r="H166" s="21">
        <v>6</v>
      </c>
      <c r="I166" s="21">
        <v>0</v>
      </c>
      <c r="J166" s="21">
        <v>45776</v>
      </c>
      <c r="K166">
        <v>0.33194012335955803</v>
      </c>
      <c r="L166" t="str">
        <f>IF(Table13[[#This Row],[Debt_to_Income_Ratio]]&lt;0.3,"Low DTI", IF(Table13[[#This Row],[Debt_to_Income_Ratio]]&lt;0.5,"Moderate DTI", "High DTI"))</f>
        <v>Moderate DTI</v>
      </c>
      <c r="M166" t="s">
        <v>34</v>
      </c>
      <c r="N166" s="21">
        <v>16</v>
      </c>
      <c r="O166" t="s">
        <v>27</v>
      </c>
      <c r="P166" t="s">
        <v>28</v>
      </c>
      <c r="Q166" t="s">
        <v>24</v>
      </c>
      <c r="R166" t="s">
        <v>23</v>
      </c>
      <c r="S166" t="s">
        <v>23</v>
      </c>
      <c r="T166" t="s">
        <v>24</v>
      </c>
      <c r="U166" t="s">
        <v>24</v>
      </c>
      <c r="V166" t="s">
        <v>23</v>
      </c>
    </row>
    <row r="167" spans="1:22">
      <c r="A167" t="s">
        <v>203</v>
      </c>
      <c r="B167" s="21">
        <v>59</v>
      </c>
      <c r="C167" s="21">
        <v>100999</v>
      </c>
      <c r="D167" s="21">
        <v>457</v>
      </c>
      <c r="E167" t="str">
        <f>VLOOKUP(Table13[[#This Row],[Credit_Score]],Table4[],2,TRUE)</f>
        <v>High Risk</v>
      </c>
      <c r="F167">
        <v>0.35386360723924298</v>
      </c>
      <c r="G167" t="str">
        <f>IF(Table13[[#This Row],[Credit_Utilization]]&lt;0.3,"Low Utilization",
IF(Table13[[#This Row],[Credit_Utilization]]&lt;0.7,"Moderate Utilization",
"High Utilization"))</f>
        <v>Moderate Utilization</v>
      </c>
      <c r="H167" s="21">
        <v>6</v>
      </c>
      <c r="I167" s="21">
        <v>0</v>
      </c>
      <c r="J167" s="21">
        <v>50989</v>
      </c>
      <c r="K167">
        <v>0.31293175981501198</v>
      </c>
      <c r="L167" t="str">
        <f>IF(Table13[[#This Row],[Debt_to_Income_Ratio]]&lt;0.3,"Low DTI", IF(Table13[[#This Row],[Debt_to_Income_Ratio]]&lt;0.5,"Moderate DTI", "High DTI"))</f>
        <v>Moderate DTI</v>
      </c>
      <c r="M167" t="s">
        <v>26</v>
      </c>
      <c r="N167" s="21">
        <v>2</v>
      </c>
      <c r="O167" t="s">
        <v>31</v>
      </c>
      <c r="P167" t="s">
        <v>32</v>
      </c>
      <c r="Q167" t="s">
        <v>24</v>
      </c>
      <c r="R167" t="s">
        <v>24</v>
      </c>
      <c r="S167" t="s">
        <v>23</v>
      </c>
      <c r="T167" t="s">
        <v>29</v>
      </c>
      <c r="U167" t="s">
        <v>23</v>
      </c>
      <c r="V167" t="s">
        <v>24</v>
      </c>
    </row>
    <row r="168" spans="1:22">
      <c r="A168" t="s">
        <v>204</v>
      </c>
      <c r="B168" s="21">
        <v>30</v>
      </c>
      <c r="C168" s="21">
        <v>21970</v>
      </c>
      <c r="D168" s="21">
        <v>328</v>
      </c>
      <c r="E168" t="str">
        <f>VLOOKUP(Table13[[#This Row],[Credit_Score]],Table4[],2,TRUE)</f>
        <v>High Risk</v>
      </c>
      <c r="F168">
        <v>0.46043906282069802</v>
      </c>
      <c r="G168" t="str">
        <f>IF(Table13[[#This Row],[Credit_Utilization]]&lt;0.3,"Low Utilization",
IF(Table13[[#This Row],[Credit_Utilization]]&lt;0.7,"Moderate Utilization",
"High Utilization"))</f>
        <v>Moderate Utilization</v>
      </c>
      <c r="H168" s="21">
        <v>0</v>
      </c>
      <c r="I168" s="21">
        <v>0</v>
      </c>
      <c r="J168" s="21">
        <v>85107</v>
      </c>
      <c r="K168">
        <v>0.34150650949359801</v>
      </c>
      <c r="L168" t="str">
        <f>IF(Table13[[#This Row],[Debt_to_Income_Ratio]]&lt;0.3,"Low DTI", IF(Table13[[#This Row],[Debt_to_Income_Ratio]]&lt;0.5,"Moderate DTI", "High DTI"))</f>
        <v>Moderate DTI</v>
      </c>
      <c r="M168" t="s">
        <v>43</v>
      </c>
      <c r="N168" s="21">
        <v>15</v>
      </c>
      <c r="O168" t="s">
        <v>37</v>
      </c>
      <c r="P168" t="s">
        <v>53</v>
      </c>
      <c r="Q168" t="s">
        <v>29</v>
      </c>
      <c r="R168" t="s">
        <v>29</v>
      </c>
      <c r="S168" t="s">
        <v>24</v>
      </c>
      <c r="T168" t="s">
        <v>24</v>
      </c>
      <c r="U168" t="s">
        <v>23</v>
      </c>
      <c r="V168" t="s">
        <v>29</v>
      </c>
    </row>
    <row r="169" spans="1:22">
      <c r="A169" t="s">
        <v>205</v>
      </c>
      <c r="B169" s="21">
        <v>68</v>
      </c>
      <c r="C169" s="21">
        <v>185883</v>
      </c>
      <c r="D169" s="21">
        <v>604</v>
      </c>
      <c r="E169" t="str">
        <f>VLOOKUP(Table13[[#This Row],[Credit_Score]],Table4[],2,TRUE)</f>
        <v>Medium Risk</v>
      </c>
      <c r="F169">
        <v>0.42404853200395098</v>
      </c>
      <c r="G169" t="str">
        <f>IF(Table13[[#This Row],[Credit_Utilization]]&lt;0.3,"Low Utilization",
IF(Table13[[#This Row],[Credit_Utilization]]&lt;0.7,"Moderate Utilization",
"High Utilization"))</f>
        <v>Moderate Utilization</v>
      </c>
      <c r="H169" s="21">
        <v>6</v>
      </c>
      <c r="I169" s="21">
        <v>0</v>
      </c>
      <c r="J169" s="21">
        <v>13761</v>
      </c>
      <c r="K169">
        <v>0.23559539842871999</v>
      </c>
      <c r="L169" t="str">
        <f>IF(Table13[[#This Row],[Debt_to_Income_Ratio]]&lt;0.3,"Low DTI", IF(Table13[[#This Row],[Debt_to_Income_Ratio]]&lt;0.5,"Moderate DTI", "High DTI"))</f>
        <v>Low DTI</v>
      </c>
      <c r="M169" t="s">
        <v>43</v>
      </c>
      <c r="N169" s="21">
        <v>4</v>
      </c>
      <c r="O169" t="s">
        <v>31</v>
      </c>
      <c r="P169" t="s">
        <v>38</v>
      </c>
      <c r="Q169" t="s">
        <v>29</v>
      </c>
      <c r="R169" t="s">
        <v>23</v>
      </c>
      <c r="S169" t="s">
        <v>24</v>
      </c>
      <c r="T169" t="s">
        <v>24</v>
      </c>
      <c r="U169" t="s">
        <v>29</v>
      </c>
      <c r="V169" t="s">
        <v>23</v>
      </c>
    </row>
    <row r="170" spans="1:22">
      <c r="A170" t="s">
        <v>206</v>
      </c>
      <c r="B170" s="21">
        <v>49</v>
      </c>
      <c r="C170" s="21">
        <v>53513</v>
      </c>
      <c r="D170" s="21">
        <v>339</v>
      </c>
      <c r="E170" t="str">
        <f>VLOOKUP(Table13[[#This Row],[Credit_Score]],Table4[],2,TRUE)</f>
        <v>High Risk</v>
      </c>
      <c r="F170">
        <v>0.482472348436704</v>
      </c>
      <c r="G170" t="str">
        <f>IF(Table13[[#This Row],[Credit_Utilization]]&lt;0.3,"Low Utilization",
IF(Table13[[#This Row],[Credit_Utilization]]&lt;0.7,"Moderate Utilization",
"High Utilization"))</f>
        <v>Moderate Utilization</v>
      </c>
      <c r="H170" s="21">
        <v>4</v>
      </c>
      <c r="I170" s="21">
        <v>0</v>
      </c>
      <c r="J170" s="21">
        <v>26549</v>
      </c>
      <c r="K170">
        <v>0.41520314028095101</v>
      </c>
      <c r="L170" t="str">
        <f>IF(Table13[[#This Row],[Debt_to_Income_Ratio]]&lt;0.3,"Low DTI", IF(Table13[[#This Row],[Debt_to_Income_Ratio]]&lt;0.5,"Moderate DTI", "High DTI"))</f>
        <v>Moderate DTI</v>
      </c>
      <c r="M170" t="s">
        <v>50</v>
      </c>
      <c r="N170" s="21">
        <v>15</v>
      </c>
      <c r="O170" t="s">
        <v>37</v>
      </c>
      <c r="P170" t="s">
        <v>28</v>
      </c>
      <c r="Q170" t="s">
        <v>29</v>
      </c>
      <c r="R170" t="s">
        <v>23</v>
      </c>
      <c r="S170" t="s">
        <v>24</v>
      </c>
      <c r="T170" t="s">
        <v>29</v>
      </c>
      <c r="U170" t="s">
        <v>24</v>
      </c>
      <c r="V170" t="s">
        <v>23</v>
      </c>
    </row>
    <row r="171" spans="1:22">
      <c r="A171" t="s">
        <v>207</v>
      </c>
      <c r="B171" s="21">
        <v>56</v>
      </c>
      <c r="C171" s="21">
        <v>150230</v>
      </c>
      <c r="D171" s="21">
        <v>766</v>
      </c>
      <c r="E171" t="str">
        <f>VLOOKUP(Table13[[#This Row],[Credit_Score]],Table4[],2,TRUE)</f>
        <v>Low Risk</v>
      </c>
      <c r="F171">
        <v>0.53054357984396505</v>
      </c>
      <c r="G171" t="str">
        <f>IF(Table13[[#This Row],[Credit_Utilization]]&lt;0.3,"Low Utilization",
IF(Table13[[#This Row],[Credit_Utilization]]&lt;0.7,"Moderate Utilization",
"High Utilization"))</f>
        <v>Moderate Utilization</v>
      </c>
      <c r="H171" s="21">
        <v>2</v>
      </c>
      <c r="I171" s="21">
        <v>0</v>
      </c>
      <c r="J171" s="21">
        <v>5539</v>
      </c>
      <c r="K171">
        <v>0.48221689493956998</v>
      </c>
      <c r="L171" t="str">
        <f>IF(Table13[[#This Row],[Debt_to_Income_Ratio]]&lt;0.3,"Low DTI", IF(Table13[[#This Row],[Debt_to_Income_Ratio]]&lt;0.5,"Moderate DTI", "High DTI"))</f>
        <v>Moderate DTI</v>
      </c>
      <c r="M171" t="s">
        <v>43</v>
      </c>
      <c r="N171" s="21">
        <v>2</v>
      </c>
      <c r="O171" t="s">
        <v>45</v>
      </c>
      <c r="P171" t="s">
        <v>53</v>
      </c>
      <c r="Q171" t="s">
        <v>29</v>
      </c>
      <c r="R171" t="s">
        <v>24</v>
      </c>
      <c r="S171" t="s">
        <v>29</v>
      </c>
      <c r="T171" t="s">
        <v>29</v>
      </c>
      <c r="U171" t="s">
        <v>23</v>
      </c>
      <c r="V171" t="s">
        <v>29</v>
      </c>
    </row>
    <row r="172" spans="1:22">
      <c r="A172" t="s">
        <v>208</v>
      </c>
      <c r="B172" s="21">
        <v>66</v>
      </c>
      <c r="C172" s="21">
        <v>38959</v>
      </c>
      <c r="D172" s="21">
        <v>310</v>
      </c>
      <c r="E172" t="str">
        <f>VLOOKUP(Table13[[#This Row],[Credit_Score]],Table4[],2,TRUE)</f>
        <v>High Risk</v>
      </c>
      <c r="F172">
        <v>0.61763998699437095</v>
      </c>
      <c r="G172" t="str">
        <f>IF(Table13[[#This Row],[Credit_Utilization]]&lt;0.3,"Low Utilization",
IF(Table13[[#This Row],[Credit_Utilization]]&lt;0.7,"Moderate Utilization",
"High Utilization"))</f>
        <v>Moderate Utilization</v>
      </c>
      <c r="H172" s="21">
        <v>5</v>
      </c>
      <c r="I172" s="21">
        <v>1</v>
      </c>
      <c r="J172" s="21">
        <v>67460</v>
      </c>
      <c r="K172">
        <v>0.13973238551414</v>
      </c>
      <c r="L172" t="str">
        <f>IF(Table13[[#This Row],[Debt_to_Income_Ratio]]&lt;0.3,"Low DTI", IF(Table13[[#This Row],[Debt_to_Income_Ratio]]&lt;0.5,"Moderate DTI", "High DTI"))</f>
        <v>Low DTI</v>
      </c>
      <c r="M172" t="s">
        <v>26</v>
      </c>
      <c r="N172" s="21">
        <v>19</v>
      </c>
      <c r="O172" t="s">
        <v>45</v>
      </c>
      <c r="P172" t="s">
        <v>28</v>
      </c>
      <c r="Q172" t="s">
        <v>24</v>
      </c>
      <c r="R172" t="s">
        <v>23</v>
      </c>
      <c r="S172" t="s">
        <v>23</v>
      </c>
      <c r="T172" t="s">
        <v>24</v>
      </c>
      <c r="U172" t="s">
        <v>23</v>
      </c>
      <c r="V172" t="s">
        <v>29</v>
      </c>
    </row>
    <row r="173" spans="1:22">
      <c r="A173" t="s">
        <v>209</v>
      </c>
      <c r="B173" s="21">
        <v>69</v>
      </c>
      <c r="C173" s="21">
        <v>172504</v>
      </c>
      <c r="D173" s="21">
        <v>677</v>
      </c>
      <c r="E173" t="str">
        <f>VLOOKUP(Table13[[#This Row],[Credit_Score]],Table4[],2,TRUE)</f>
        <v>Medium Risk</v>
      </c>
      <c r="F173">
        <v>0.60173364991742695</v>
      </c>
      <c r="G173" t="str">
        <f>IF(Table13[[#This Row],[Credit_Utilization]]&lt;0.3,"Low Utilization",
IF(Table13[[#This Row],[Credit_Utilization]]&lt;0.7,"Moderate Utilization",
"High Utilization"))</f>
        <v>Moderate Utilization</v>
      </c>
      <c r="H173" s="21">
        <v>2</v>
      </c>
      <c r="I173" s="21">
        <v>0</v>
      </c>
      <c r="J173" s="21">
        <v>98999</v>
      </c>
      <c r="K173">
        <v>0.17844020040457501</v>
      </c>
      <c r="L173" t="str">
        <f>IF(Table13[[#This Row],[Debt_to_Income_Ratio]]&lt;0.3,"Low DTI", IF(Table13[[#This Row],[Debt_to_Income_Ratio]]&lt;0.5,"Moderate DTI", "High DTI"))</f>
        <v>Low DTI</v>
      </c>
      <c r="M173" t="s">
        <v>26</v>
      </c>
      <c r="N173" s="21">
        <v>14</v>
      </c>
      <c r="O173" t="s">
        <v>27</v>
      </c>
      <c r="P173" t="s">
        <v>32</v>
      </c>
      <c r="Q173" t="s">
        <v>24</v>
      </c>
      <c r="R173" t="s">
        <v>29</v>
      </c>
      <c r="S173" t="s">
        <v>29</v>
      </c>
      <c r="T173" t="s">
        <v>24</v>
      </c>
      <c r="U173" t="s">
        <v>29</v>
      </c>
      <c r="V173" t="s">
        <v>23</v>
      </c>
    </row>
    <row r="174" spans="1:22">
      <c r="A174" t="s">
        <v>210</v>
      </c>
      <c r="B174" s="21">
        <v>49</v>
      </c>
      <c r="C174" s="21">
        <v>101188</v>
      </c>
      <c r="D174" s="21">
        <v>818</v>
      </c>
      <c r="E174" t="str">
        <f>VLOOKUP(Table13[[#This Row],[Credit_Score]],Table4[],2,TRUE)</f>
        <v>Low Risk</v>
      </c>
      <c r="F174">
        <v>0.05</v>
      </c>
      <c r="G174" t="str">
        <f>IF(Table13[[#This Row],[Credit_Utilization]]&lt;0.3,"Low Utilization",
IF(Table13[[#This Row],[Credit_Utilization]]&lt;0.7,"Moderate Utilization",
"High Utilization"))</f>
        <v>Low Utilization</v>
      </c>
      <c r="H174" s="21">
        <v>2</v>
      </c>
      <c r="I174" s="21">
        <v>0</v>
      </c>
      <c r="J174" s="21">
        <v>74403</v>
      </c>
      <c r="K174">
        <v>0.30430830080243798</v>
      </c>
      <c r="L174" t="str">
        <f>IF(Table13[[#This Row],[Debt_to_Income_Ratio]]&lt;0.3,"Low DTI", IF(Table13[[#This Row],[Debt_to_Income_Ratio]]&lt;0.5,"Moderate DTI", "High DTI"))</f>
        <v>Moderate DTI</v>
      </c>
      <c r="M174" t="s">
        <v>43</v>
      </c>
      <c r="N174" s="21">
        <v>2</v>
      </c>
      <c r="O174" t="s">
        <v>27</v>
      </c>
      <c r="P174" t="s">
        <v>38</v>
      </c>
      <c r="Q174" t="s">
        <v>29</v>
      </c>
      <c r="R174" t="s">
        <v>29</v>
      </c>
      <c r="S174" t="s">
        <v>24</v>
      </c>
      <c r="T174" t="s">
        <v>29</v>
      </c>
      <c r="U174" t="s">
        <v>29</v>
      </c>
      <c r="V174" t="s">
        <v>23</v>
      </c>
    </row>
    <row r="175" spans="1:22">
      <c r="A175" t="s">
        <v>211</v>
      </c>
      <c r="B175" s="21">
        <v>21</v>
      </c>
      <c r="C175" s="21">
        <v>47217</v>
      </c>
      <c r="D175" s="21">
        <v>383</v>
      </c>
      <c r="E175" t="str">
        <f>VLOOKUP(Table13[[#This Row],[Credit_Score]],Table4[],2,TRUE)</f>
        <v>High Risk</v>
      </c>
      <c r="F175">
        <v>0.48053836224559399</v>
      </c>
      <c r="G175" t="str">
        <f>IF(Table13[[#This Row],[Credit_Utilization]]&lt;0.3,"Low Utilization",
IF(Table13[[#This Row],[Credit_Utilization]]&lt;0.7,"Moderate Utilization",
"High Utilization"))</f>
        <v>Moderate Utilization</v>
      </c>
      <c r="H175" s="21">
        <v>4</v>
      </c>
      <c r="I175" s="21">
        <v>1</v>
      </c>
      <c r="J175" s="21">
        <v>31316</v>
      </c>
      <c r="K175">
        <v>0.27434490194471201</v>
      </c>
      <c r="L175" t="str">
        <f>IF(Table13[[#This Row],[Debt_to_Income_Ratio]]&lt;0.3,"Low DTI", IF(Table13[[#This Row],[Debt_to_Income_Ratio]]&lt;0.5,"Moderate DTI", "High DTI"))</f>
        <v>Low DTI</v>
      </c>
      <c r="M175" t="s">
        <v>43</v>
      </c>
      <c r="N175" s="21">
        <v>19</v>
      </c>
      <c r="O175" t="s">
        <v>31</v>
      </c>
      <c r="P175" t="s">
        <v>53</v>
      </c>
      <c r="Q175" t="s">
        <v>29</v>
      </c>
      <c r="R175" t="s">
        <v>23</v>
      </c>
      <c r="S175" t="s">
        <v>29</v>
      </c>
      <c r="T175" t="s">
        <v>24</v>
      </c>
      <c r="U175" t="s">
        <v>24</v>
      </c>
      <c r="V175" t="s">
        <v>24</v>
      </c>
    </row>
    <row r="176" spans="1:22">
      <c r="A176" t="s">
        <v>212</v>
      </c>
      <c r="B176" s="21">
        <v>47</v>
      </c>
      <c r="C176" s="21">
        <v>72458</v>
      </c>
      <c r="D176" s="21">
        <v>407</v>
      </c>
      <c r="E176" t="str">
        <f>VLOOKUP(Table13[[#This Row],[Credit_Score]],Table4[],2,TRUE)</f>
        <v>High Risk</v>
      </c>
      <c r="F176">
        <v>0.19811561731864699</v>
      </c>
      <c r="G176" t="str">
        <f>IF(Table13[[#This Row],[Credit_Utilization]]&lt;0.3,"Low Utilization",
IF(Table13[[#This Row],[Credit_Utilization]]&lt;0.7,"Moderate Utilization",
"High Utilization"))</f>
        <v>Low Utilization</v>
      </c>
      <c r="H176" s="21">
        <v>6</v>
      </c>
      <c r="I176" s="21">
        <v>0</v>
      </c>
      <c r="J176" s="21">
        <v>37445</v>
      </c>
      <c r="K176">
        <v>0.48964124057727798</v>
      </c>
      <c r="L176" t="str">
        <f>IF(Table13[[#This Row],[Debt_to_Income_Ratio]]&lt;0.3,"Low DTI", IF(Table13[[#This Row],[Debt_to_Income_Ratio]]&lt;0.5,"Moderate DTI", "High DTI"))</f>
        <v>Moderate DTI</v>
      </c>
      <c r="M176" t="s">
        <v>43</v>
      </c>
      <c r="N176" s="21">
        <v>13</v>
      </c>
      <c r="O176" t="s">
        <v>37</v>
      </c>
      <c r="P176" t="s">
        <v>38</v>
      </c>
      <c r="Q176" t="s">
        <v>23</v>
      </c>
      <c r="R176" t="s">
        <v>24</v>
      </c>
      <c r="S176" t="s">
        <v>24</v>
      </c>
      <c r="T176" t="s">
        <v>23</v>
      </c>
      <c r="U176" t="s">
        <v>23</v>
      </c>
      <c r="V176" t="s">
        <v>23</v>
      </c>
    </row>
    <row r="177" spans="1:22">
      <c r="A177" t="s">
        <v>213</v>
      </c>
      <c r="B177" s="21">
        <v>54</v>
      </c>
      <c r="C177" s="21">
        <v>76476</v>
      </c>
      <c r="D177" s="21">
        <v>788</v>
      </c>
      <c r="E177" t="str">
        <f>VLOOKUP(Table13[[#This Row],[Credit_Score]],Table4[],2,TRUE)</f>
        <v>Low Risk</v>
      </c>
      <c r="F177">
        <v>0.44485454950653402</v>
      </c>
      <c r="G177" t="str">
        <f>IF(Table13[[#This Row],[Credit_Utilization]]&lt;0.3,"Low Utilization",
IF(Table13[[#This Row],[Credit_Utilization]]&lt;0.7,"Moderate Utilization",
"High Utilization"))</f>
        <v>Moderate Utilization</v>
      </c>
      <c r="H177" s="21">
        <v>5</v>
      </c>
      <c r="I177" s="21">
        <v>0</v>
      </c>
      <c r="J177" s="21">
        <v>69963</v>
      </c>
      <c r="K177">
        <v>0.321978432342446</v>
      </c>
      <c r="L177" t="str">
        <f>IF(Table13[[#This Row],[Debt_to_Income_Ratio]]&lt;0.3,"Low DTI", IF(Table13[[#This Row],[Debt_to_Income_Ratio]]&lt;0.5,"Moderate DTI", "High DTI"))</f>
        <v>Moderate DTI</v>
      </c>
      <c r="M177" t="s">
        <v>26</v>
      </c>
      <c r="N177" s="21">
        <v>15</v>
      </c>
      <c r="O177" t="s">
        <v>21</v>
      </c>
      <c r="P177" t="s">
        <v>32</v>
      </c>
      <c r="Q177" t="s">
        <v>29</v>
      </c>
      <c r="R177" t="s">
        <v>24</v>
      </c>
      <c r="S177" t="s">
        <v>23</v>
      </c>
      <c r="T177" t="s">
        <v>24</v>
      </c>
      <c r="U177" t="s">
        <v>24</v>
      </c>
      <c r="V177" t="s">
        <v>23</v>
      </c>
    </row>
    <row r="178" spans="1:22">
      <c r="A178" t="s">
        <v>214</v>
      </c>
      <c r="B178" s="21">
        <v>40</v>
      </c>
      <c r="C178" s="21">
        <v>159356</v>
      </c>
      <c r="D178" s="21">
        <v>339</v>
      </c>
      <c r="E178" t="str">
        <f>VLOOKUP(Table13[[#This Row],[Credit_Score]],Table4[],2,TRUE)</f>
        <v>High Risk</v>
      </c>
      <c r="F178">
        <v>0.47524208243781602</v>
      </c>
      <c r="G178" t="str">
        <f>IF(Table13[[#This Row],[Credit_Utilization]]&lt;0.3,"Low Utilization",
IF(Table13[[#This Row],[Credit_Utilization]]&lt;0.7,"Moderate Utilization",
"High Utilization"))</f>
        <v>Moderate Utilization</v>
      </c>
      <c r="H178" s="21">
        <v>4</v>
      </c>
      <c r="I178" s="21">
        <v>0</v>
      </c>
      <c r="J178" s="21">
        <v>68636</v>
      </c>
      <c r="K178">
        <v>0.43925452537259502</v>
      </c>
      <c r="L178" t="str">
        <f>IF(Table13[[#This Row],[Debt_to_Income_Ratio]]&lt;0.3,"Low DTI", IF(Table13[[#This Row],[Debt_to_Income_Ratio]]&lt;0.5,"Moderate DTI", "High DTI"))</f>
        <v>Moderate DTI</v>
      </c>
      <c r="M178" t="s">
        <v>26</v>
      </c>
      <c r="N178" s="21">
        <v>16</v>
      </c>
      <c r="O178" t="s">
        <v>27</v>
      </c>
      <c r="P178" t="s">
        <v>38</v>
      </c>
      <c r="Q178" t="s">
        <v>23</v>
      </c>
      <c r="R178" t="s">
        <v>29</v>
      </c>
      <c r="S178" t="s">
        <v>24</v>
      </c>
      <c r="T178" t="s">
        <v>29</v>
      </c>
      <c r="U178" t="s">
        <v>24</v>
      </c>
      <c r="V178" t="s">
        <v>23</v>
      </c>
    </row>
    <row r="179" spans="1:22">
      <c r="A179" t="s">
        <v>215</v>
      </c>
      <c r="B179" s="21">
        <v>56</v>
      </c>
      <c r="C179" s="21">
        <v>165580</v>
      </c>
      <c r="D179" s="21">
        <v>447</v>
      </c>
      <c r="E179" t="str">
        <f>VLOOKUP(Table13[[#This Row],[Credit_Score]],Table4[],2,TRUE)</f>
        <v>High Risk</v>
      </c>
      <c r="F179">
        <v>0.69522967161694105</v>
      </c>
      <c r="G179" t="str">
        <f>IF(Table13[[#This Row],[Credit_Utilization]]&lt;0.3,"Low Utilization",
IF(Table13[[#This Row],[Credit_Utilization]]&lt;0.7,"Moderate Utilization",
"High Utilization"))</f>
        <v>Moderate Utilization</v>
      </c>
      <c r="H179" s="21">
        <v>0</v>
      </c>
      <c r="I179" s="21">
        <v>0</v>
      </c>
      <c r="J179" s="21">
        <v>45776</v>
      </c>
      <c r="K179">
        <v>0.1</v>
      </c>
      <c r="L179" t="str">
        <f>IF(Table13[[#This Row],[Debt_to_Income_Ratio]]&lt;0.3,"Low DTI", IF(Table13[[#This Row],[Debt_to_Income_Ratio]]&lt;0.5,"Moderate DTI", "High DTI"))</f>
        <v>Low DTI</v>
      </c>
      <c r="M179" t="s">
        <v>26</v>
      </c>
      <c r="N179" s="21">
        <v>19</v>
      </c>
      <c r="O179" t="s">
        <v>21</v>
      </c>
      <c r="P179" t="s">
        <v>38</v>
      </c>
      <c r="Q179" t="s">
        <v>23</v>
      </c>
      <c r="R179" t="s">
        <v>23</v>
      </c>
      <c r="S179" t="s">
        <v>23</v>
      </c>
      <c r="T179" t="s">
        <v>23</v>
      </c>
      <c r="U179" t="s">
        <v>29</v>
      </c>
      <c r="V179" t="s">
        <v>29</v>
      </c>
    </row>
    <row r="180" spans="1:22">
      <c r="A180" t="s">
        <v>216</v>
      </c>
      <c r="B180" s="21">
        <v>62</v>
      </c>
      <c r="C180" s="21">
        <v>108610</v>
      </c>
      <c r="D180" s="21">
        <v>446</v>
      </c>
      <c r="E180" t="str">
        <f>VLOOKUP(Table13[[#This Row],[Credit_Score]],Table4[],2,TRUE)</f>
        <v>High Risk</v>
      </c>
      <c r="F180">
        <v>0.49397690657998</v>
      </c>
      <c r="G180" t="str">
        <f>IF(Table13[[#This Row],[Credit_Utilization]]&lt;0.3,"Low Utilization",
IF(Table13[[#This Row],[Credit_Utilization]]&lt;0.7,"Moderate Utilization",
"High Utilization"))</f>
        <v>Moderate Utilization</v>
      </c>
      <c r="H180" s="21">
        <v>3</v>
      </c>
      <c r="I180" s="21">
        <v>0</v>
      </c>
      <c r="J180" s="21">
        <v>11061</v>
      </c>
      <c r="K180">
        <v>0.38141694833323497</v>
      </c>
      <c r="L180" t="str">
        <f>IF(Table13[[#This Row],[Debt_to_Income_Ratio]]&lt;0.3,"Low DTI", IF(Table13[[#This Row],[Debt_to_Income_Ratio]]&lt;0.5,"Moderate DTI", "High DTI"))</f>
        <v>Moderate DTI</v>
      </c>
      <c r="M180" t="s">
        <v>43</v>
      </c>
      <c r="N180" s="21">
        <v>17</v>
      </c>
      <c r="O180" t="s">
        <v>21</v>
      </c>
      <c r="P180" t="s">
        <v>22</v>
      </c>
      <c r="Q180" t="s">
        <v>23</v>
      </c>
      <c r="R180" t="s">
        <v>23</v>
      </c>
      <c r="S180" t="s">
        <v>24</v>
      </c>
      <c r="T180" t="s">
        <v>23</v>
      </c>
      <c r="U180" t="s">
        <v>29</v>
      </c>
      <c r="V180" t="s">
        <v>24</v>
      </c>
    </row>
    <row r="181" spans="1:22">
      <c r="A181" t="s">
        <v>217</v>
      </c>
      <c r="B181" s="21">
        <v>32</v>
      </c>
      <c r="C181" s="21">
        <v>182280</v>
      </c>
      <c r="D181" s="21">
        <v>467</v>
      </c>
      <c r="E181" t="str">
        <f>VLOOKUP(Table13[[#This Row],[Credit_Score]],Table4[],2,TRUE)</f>
        <v>High Risk</v>
      </c>
      <c r="F181">
        <v>0.55184360366865204</v>
      </c>
      <c r="G181" t="str">
        <f>IF(Table13[[#This Row],[Credit_Utilization]]&lt;0.3,"Low Utilization",
IF(Table13[[#This Row],[Credit_Utilization]]&lt;0.7,"Moderate Utilization",
"High Utilization"))</f>
        <v>Moderate Utilization</v>
      </c>
      <c r="H181" s="21">
        <v>2</v>
      </c>
      <c r="I181" s="21">
        <v>0</v>
      </c>
      <c r="J181" s="21">
        <v>74433</v>
      </c>
      <c r="K181">
        <v>0.22844831807416699</v>
      </c>
      <c r="L181" t="str">
        <f>IF(Table13[[#This Row],[Debt_to_Income_Ratio]]&lt;0.3,"Low DTI", IF(Table13[[#This Row],[Debt_to_Income_Ratio]]&lt;0.5,"Moderate DTI", "High DTI"))</f>
        <v>Low DTI</v>
      </c>
      <c r="M181" t="s">
        <v>50</v>
      </c>
      <c r="N181" s="21">
        <v>17</v>
      </c>
      <c r="O181" t="s">
        <v>37</v>
      </c>
      <c r="P181" t="s">
        <v>38</v>
      </c>
      <c r="Q181" t="s">
        <v>23</v>
      </c>
      <c r="R181" t="s">
        <v>23</v>
      </c>
      <c r="S181" t="s">
        <v>29</v>
      </c>
      <c r="T181" t="s">
        <v>23</v>
      </c>
      <c r="U181" t="s">
        <v>24</v>
      </c>
      <c r="V181" t="s">
        <v>24</v>
      </c>
    </row>
    <row r="182" spans="1:22">
      <c r="A182" t="s">
        <v>218</v>
      </c>
      <c r="B182" s="21">
        <v>60</v>
      </c>
      <c r="C182" s="21">
        <v>127816</v>
      </c>
      <c r="D182" s="21">
        <v>638</v>
      </c>
      <c r="E182" t="str">
        <f>VLOOKUP(Table13[[#This Row],[Credit_Score]],Table4[],2,TRUE)</f>
        <v>Medium Risk</v>
      </c>
      <c r="F182">
        <v>0.65861127613148496</v>
      </c>
      <c r="G182" t="str">
        <f>IF(Table13[[#This Row],[Credit_Utilization]]&lt;0.3,"Low Utilization",
IF(Table13[[#This Row],[Credit_Utilization]]&lt;0.7,"Moderate Utilization",
"High Utilization"))</f>
        <v>Moderate Utilization</v>
      </c>
      <c r="H182" s="21">
        <v>3</v>
      </c>
      <c r="I182" s="21">
        <v>0</v>
      </c>
      <c r="J182" s="21">
        <v>50183</v>
      </c>
      <c r="K182">
        <v>0.22684574303803401</v>
      </c>
      <c r="L182" t="str">
        <f>IF(Table13[[#This Row],[Debt_to_Income_Ratio]]&lt;0.3,"Low DTI", IF(Table13[[#This Row],[Debt_to_Income_Ratio]]&lt;0.5,"Moderate DTI", "High DTI"))</f>
        <v>Low DTI</v>
      </c>
      <c r="M182" t="s">
        <v>50</v>
      </c>
      <c r="N182" s="21">
        <v>13</v>
      </c>
      <c r="O182" t="s">
        <v>31</v>
      </c>
      <c r="P182" t="s">
        <v>28</v>
      </c>
      <c r="Q182" t="s">
        <v>29</v>
      </c>
      <c r="R182" t="s">
        <v>24</v>
      </c>
      <c r="S182" t="s">
        <v>23</v>
      </c>
      <c r="T182" t="s">
        <v>24</v>
      </c>
      <c r="U182" t="s">
        <v>29</v>
      </c>
      <c r="V182" t="s">
        <v>23</v>
      </c>
    </row>
    <row r="183" spans="1:22">
      <c r="A183" t="s">
        <v>219</v>
      </c>
      <c r="B183" s="21">
        <v>46</v>
      </c>
      <c r="C183" s="21">
        <v>149415</v>
      </c>
      <c r="D183" s="21">
        <v>605</v>
      </c>
      <c r="E183" t="str">
        <f>VLOOKUP(Table13[[#This Row],[Credit_Score]],Table4[],2,TRUE)</f>
        <v>Medium Risk</v>
      </c>
      <c r="F183">
        <v>0.74555045196386005</v>
      </c>
      <c r="G183" t="str">
        <f>IF(Table13[[#This Row],[Credit_Utilization]]&lt;0.3,"Low Utilization",
IF(Table13[[#This Row],[Credit_Utilization]]&lt;0.7,"Moderate Utilization",
"High Utilization"))</f>
        <v>High Utilization</v>
      </c>
      <c r="H183" s="21">
        <v>4</v>
      </c>
      <c r="I183" s="21">
        <v>0</v>
      </c>
      <c r="J183" s="21">
        <v>30549</v>
      </c>
      <c r="K183">
        <v>0.275164197358787</v>
      </c>
      <c r="L183" t="str">
        <f>IF(Table13[[#This Row],[Debt_to_Income_Ratio]]&lt;0.3,"Low DTI", IF(Table13[[#This Row],[Debt_to_Income_Ratio]]&lt;0.5,"Moderate DTI", "High DTI"))</f>
        <v>Low DTI</v>
      </c>
      <c r="M183" t="s">
        <v>43</v>
      </c>
      <c r="N183" s="21">
        <v>17</v>
      </c>
      <c r="O183" t="s">
        <v>37</v>
      </c>
      <c r="P183" t="s">
        <v>53</v>
      </c>
      <c r="Q183" t="s">
        <v>23</v>
      </c>
      <c r="R183" t="s">
        <v>23</v>
      </c>
      <c r="S183" t="s">
        <v>29</v>
      </c>
      <c r="T183" t="s">
        <v>24</v>
      </c>
      <c r="U183" t="s">
        <v>24</v>
      </c>
      <c r="V183" t="s">
        <v>29</v>
      </c>
    </row>
    <row r="184" spans="1:22">
      <c r="A184" t="s">
        <v>220</v>
      </c>
      <c r="B184" s="21">
        <v>53</v>
      </c>
      <c r="C184" s="21">
        <v>120616</v>
      </c>
      <c r="D184" s="21">
        <v>469</v>
      </c>
      <c r="E184" t="str">
        <f>VLOOKUP(Table13[[#This Row],[Credit_Score]],Table4[],2,TRUE)</f>
        <v>High Risk</v>
      </c>
      <c r="F184">
        <v>0.47539721532861701</v>
      </c>
      <c r="G184" t="str">
        <f>IF(Table13[[#This Row],[Credit_Utilization]]&lt;0.3,"Low Utilization",
IF(Table13[[#This Row],[Credit_Utilization]]&lt;0.7,"Moderate Utilization",
"High Utilization"))</f>
        <v>Moderate Utilization</v>
      </c>
      <c r="H184" s="21">
        <v>4</v>
      </c>
      <c r="I184" s="21">
        <v>0</v>
      </c>
      <c r="J184" s="21">
        <v>69666</v>
      </c>
      <c r="K184">
        <v>0.15754163602689</v>
      </c>
      <c r="L184" t="str">
        <f>IF(Table13[[#This Row],[Debt_to_Income_Ratio]]&lt;0.3,"Low DTI", IF(Table13[[#This Row],[Debt_to_Income_Ratio]]&lt;0.5,"Moderate DTI", "High DTI"))</f>
        <v>Low DTI</v>
      </c>
      <c r="M184" t="s">
        <v>50</v>
      </c>
      <c r="N184" s="21">
        <v>14</v>
      </c>
      <c r="O184" t="s">
        <v>27</v>
      </c>
      <c r="P184" t="s">
        <v>22</v>
      </c>
      <c r="Q184" t="s">
        <v>23</v>
      </c>
      <c r="R184" t="s">
        <v>24</v>
      </c>
      <c r="S184" t="s">
        <v>23</v>
      </c>
      <c r="T184" t="s">
        <v>24</v>
      </c>
      <c r="U184" t="s">
        <v>29</v>
      </c>
      <c r="V184" t="s">
        <v>24</v>
      </c>
    </row>
    <row r="185" spans="1:22">
      <c r="A185" t="s">
        <v>221</v>
      </c>
      <c r="B185" s="21">
        <v>30</v>
      </c>
      <c r="C185" s="21">
        <v>199943</v>
      </c>
      <c r="D185" s="21">
        <v>429</v>
      </c>
      <c r="E185" t="str">
        <f>VLOOKUP(Table13[[#This Row],[Credit_Score]],Table4[],2,TRUE)</f>
        <v>High Risk</v>
      </c>
      <c r="F185">
        <v>0.51883588833608096</v>
      </c>
      <c r="G185" t="str">
        <f>IF(Table13[[#This Row],[Credit_Utilization]]&lt;0.3,"Low Utilization",
IF(Table13[[#This Row],[Credit_Utilization]]&lt;0.7,"Moderate Utilization",
"High Utilization"))</f>
        <v>Moderate Utilization</v>
      </c>
      <c r="H185" s="21">
        <v>4</v>
      </c>
      <c r="I185" s="21">
        <v>0</v>
      </c>
      <c r="J185" s="21">
        <v>10951</v>
      </c>
      <c r="K185">
        <v>0.34427855253218498</v>
      </c>
      <c r="L185" t="str">
        <f>IF(Table13[[#This Row],[Debt_to_Income_Ratio]]&lt;0.3,"Low DTI", IF(Table13[[#This Row],[Debt_to_Income_Ratio]]&lt;0.5,"Moderate DTI", "High DTI"))</f>
        <v>Moderate DTI</v>
      </c>
      <c r="M185" t="s">
        <v>34</v>
      </c>
      <c r="N185" s="21">
        <v>14</v>
      </c>
      <c r="O185" t="s">
        <v>21</v>
      </c>
      <c r="P185" t="s">
        <v>53</v>
      </c>
      <c r="Q185" t="s">
        <v>23</v>
      </c>
      <c r="R185" t="s">
        <v>23</v>
      </c>
      <c r="S185" t="s">
        <v>23</v>
      </c>
      <c r="T185" t="s">
        <v>24</v>
      </c>
      <c r="U185" t="s">
        <v>23</v>
      </c>
      <c r="V185" t="s">
        <v>24</v>
      </c>
    </row>
    <row r="186" spans="1:22">
      <c r="A186" t="s">
        <v>222</v>
      </c>
      <c r="B186" s="21">
        <v>49</v>
      </c>
      <c r="C186" s="21">
        <v>178551</v>
      </c>
      <c r="D186" s="21">
        <v>811</v>
      </c>
      <c r="E186" t="str">
        <f>VLOOKUP(Table13[[#This Row],[Credit_Score]],Table4[],2,TRUE)</f>
        <v>Low Risk</v>
      </c>
      <c r="F186">
        <v>0.50200466044845005</v>
      </c>
      <c r="G186" t="str">
        <f>IF(Table13[[#This Row],[Credit_Utilization]]&lt;0.3,"Low Utilization",
IF(Table13[[#This Row],[Credit_Utilization]]&lt;0.7,"Moderate Utilization",
"High Utilization"))</f>
        <v>Moderate Utilization</v>
      </c>
      <c r="H186" s="21">
        <v>3</v>
      </c>
      <c r="I186" s="21">
        <v>0</v>
      </c>
      <c r="J186" s="21">
        <v>47721</v>
      </c>
      <c r="K186">
        <v>0.319071496671679</v>
      </c>
      <c r="L186" t="str">
        <f>IF(Table13[[#This Row],[Debt_to_Income_Ratio]]&lt;0.3,"Low DTI", IF(Table13[[#This Row],[Debt_to_Income_Ratio]]&lt;0.5,"Moderate DTI", "High DTI"))</f>
        <v>Moderate DTI</v>
      </c>
      <c r="M186" t="s">
        <v>43</v>
      </c>
      <c r="N186" s="21">
        <v>5</v>
      </c>
      <c r="O186" t="s">
        <v>37</v>
      </c>
      <c r="P186" t="s">
        <v>53</v>
      </c>
      <c r="Q186" t="s">
        <v>29</v>
      </c>
      <c r="R186" t="s">
        <v>23</v>
      </c>
      <c r="S186" t="s">
        <v>29</v>
      </c>
      <c r="T186" t="s">
        <v>24</v>
      </c>
      <c r="U186" t="s">
        <v>23</v>
      </c>
      <c r="V186" t="s">
        <v>23</v>
      </c>
    </row>
    <row r="187" spans="1:22">
      <c r="A187" t="s">
        <v>223</v>
      </c>
      <c r="B187" s="21">
        <v>24</v>
      </c>
      <c r="C187" s="21">
        <v>68932</v>
      </c>
      <c r="D187" s="21">
        <v>792</v>
      </c>
      <c r="E187" t="str">
        <f>VLOOKUP(Table13[[#This Row],[Credit_Score]],Table4[],2,TRUE)</f>
        <v>Low Risk</v>
      </c>
      <c r="F187">
        <v>0.39148020711378401</v>
      </c>
      <c r="G187" t="str">
        <f>IF(Table13[[#This Row],[Credit_Utilization]]&lt;0.3,"Low Utilization",
IF(Table13[[#This Row],[Credit_Utilization]]&lt;0.7,"Moderate Utilization",
"High Utilization"))</f>
        <v>Moderate Utilization</v>
      </c>
      <c r="H187" s="21">
        <v>4</v>
      </c>
      <c r="I187" s="21">
        <v>0</v>
      </c>
      <c r="J187" s="21">
        <v>84521</v>
      </c>
      <c r="K187">
        <v>0.32661922481872702</v>
      </c>
      <c r="L187" t="str">
        <f>IF(Table13[[#This Row],[Debt_to_Income_Ratio]]&lt;0.3,"Low DTI", IF(Table13[[#This Row],[Debt_to_Income_Ratio]]&lt;0.5,"Moderate DTI", "High DTI"))</f>
        <v>Moderate DTI</v>
      </c>
      <c r="M187" t="s">
        <v>26</v>
      </c>
      <c r="N187" s="21">
        <v>14</v>
      </c>
      <c r="O187" t="s">
        <v>37</v>
      </c>
      <c r="P187" t="s">
        <v>32</v>
      </c>
      <c r="Q187" t="s">
        <v>29</v>
      </c>
      <c r="R187" t="s">
        <v>29</v>
      </c>
      <c r="S187" t="s">
        <v>24</v>
      </c>
      <c r="T187" t="s">
        <v>23</v>
      </c>
      <c r="U187" t="s">
        <v>23</v>
      </c>
      <c r="V187" t="s">
        <v>29</v>
      </c>
    </row>
    <row r="188" spans="1:22">
      <c r="A188" t="s">
        <v>224</v>
      </c>
      <c r="B188" s="21">
        <v>68</v>
      </c>
      <c r="C188" s="21">
        <v>23702</v>
      </c>
      <c r="D188" s="21">
        <v>401</v>
      </c>
      <c r="E188" t="str">
        <f>VLOOKUP(Table13[[#This Row],[Credit_Score]],Table4[],2,TRUE)</f>
        <v>High Risk</v>
      </c>
      <c r="F188">
        <v>0.34617695531152198</v>
      </c>
      <c r="G188" t="str">
        <f>IF(Table13[[#This Row],[Credit_Utilization]]&lt;0.3,"Low Utilization",
IF(Table13[[#This Row],[Credit_Utilization]]&lt;0.7,"Moderate Utilization",
"High Utilization"))</f>
        <v>Moderate Utilization</v>
      </c>
      <c r="H188" s="21">
        <v>0</v>
      </c>
      <c r="I188" s="21">
        <v>0</v>
      </c>
      <c r="J188" s="21">
        <v>31198</v>
      </c>
      <c r="K188">
        <v>0.38870310221329002</v>
      </c>
      <c r="L188" t="str">
        <f>IF(Table13[[#This Row],[Debt_to_Income_Ratio]]&lt;0.3,"Low DTI", IF(Table13[[#This Row],[Debt_to_Income_Ratio]]&lt;0.5,"Moderate DTI", "High DTI"))</f>
        <v>Moderate DTI</v>
      </c>
      <c r="M188" t="s">
        <v>50</v>
      </c>
      <c r="N188" s="21">
        <v>17</v>
      </c>
      <c r="O188" t="s">
        <v>37</v>
      </c>
      <c r="P188" t="s">
        <v>32</v>
      </c>
      <c r="Q188" t="s">
        <v>23</v>
      </c>
      <c r="R188" t="s">
        <v>23</v>
      </c>
      <c r="S188" t="s">
        <v>24</v>
      </c>
      <c r="T188" t="s">
        <v>29</v>
      </c>
      <c r="U188" t="s">
        <v>29</v>
      </c>
      <c r="V188" t="s">
        <v>29</v>
      </c>
    </row>
    <row r="189" spans="1:22">
      <c r="A189" t="s">
        <v>225</v>
      </c>
      <c r="B189" s="21">
        <v>39</v>
      </c>
      <c r="C189" s="21">
        <v>107658</v>
      </c>
      <c r="D189" s="21">
        <v>826</v>
      </c>
      <c r="E189" t="str">
        <f>VLOOKUP(Table13[[#This Row],[Credit_Score]],Table4[],2,TRUE)</f>
        <v>Low Risk</v>
      </c>
      <c r="F189">
        <v>0.05</v>
      </c>
      <c r="G189" t="str">
        <f>IF(Table13[[#This Row],[Credit_Utilization]]&lt;0.3,"Low Utilization",
IF(Table13[[#This Row],[Credit_Utilization]]&lt;0.7,"Moderate Utilization",
"High Utilization"))</f>
        <v>Low Utilization</v>
      </c>
      <c r="H189" s="21">
        <v>4</v>
      </c>
      <c r="I189" s="21">
        <v>1</v>
      </c>
      <c r="J189" s="21">
        <v>7796</v>
      </c>
      <c r="K189">
        <v>0.45147820461941501</v>
      </c>
      <c r="L189" t="str">
        <f>IF(Table13[[#This Row],[Debt_to_Income_Ratio]]&lt;0.3,"Low DTI", IF(Table13[[#This Row],[Debt_to_Income_Ratio]]&lt;0.5,"Moderate DTI", "High DTI"))</f>
        <v>Moderate DTI</v>
      </c>
      <c r="M189" t="s">
        <v>43</v>
      </c>
      <c r="N189" s="21">
        <v>3</v>
      </c>
      <c r="O189" t="s">
        <v>27</v>
      </c>
      <c r="P189" t="s">
        <v>22</v>
      </c>
      <c r="Q189" t="s">
        <v>24</v>
      </c>
      <c r="R189" t="s">
        <v>29</v>
      </c>
      <c r="S189" t="s">
        <v>23</v>
      </c>
      <c r="T189" t="s">
        <v>29</v>
      </c>
      <c r="U189" t="s">
        <v>29</v>
      </c>
      <c r="V189" t="s">
        <v>23</v>
      </c>
    </row>
    <row r="190" spans="1:22">
      <c r="A190" t="s">
        <v>226</v>
      </c>
      <c r="B190" s="21">
        <v>45</v>
      </c>
      <c r="C190" s="21">
        <v>67528</v>
      </c>
      <c r="D190" s="21">
        <v>526</v>
      </c>
      <c r="E190" t="str">
        <f>VLOOKUP(Table13[[#This Row],[Credit_Score]],Table4[],2,TRUE)</f>
        <v>High Risk</v>
      </c>
      <c r="F190">
        <v>0.284667813095134</v>
      </c>
      <c r="G190" t="str">
        <f>IF(Table13[[#This Row],[Credit_Utilization]]&lt;0.3,"Low Utilization",
IF(Table13[[#This Row],[Credit_Utilization]]&lt;0.7,"Moderate Utilization",
"High Utilization"))</f>
        <v>Low Utilization</v>
      </c>
      <c r="H190" s="21">
        <v>1</v>
      </c>
      <c r="I190" s="21">
        <v>0</v>
      </c>
      <c r="J190" s="21">
        <v>64950</v>
      </c>
      <c r="K190">
        <v>0.26362889509124499</v>
      </c>
      <c r="L190" t="str">
        <f>IF(Table13[[#This Row],[Debt_to_Income_Ratio]]&lt;0.3,"Low DTI", IF(Table13[[#This Row],[Debt_to_Income_Ratio]]&lt;0.5,"Moderate DTI", "High DTI"))</f>
        <v>Low DTI</v>
      </c>
      <c r="M190" t="s">
        <v>50</v>
      </c>
      <c r="N190" s="21">
        <v>7</v>
      </c>
      <c r="O190" t="s">
        <v>31</v>
      </c>
      <c r="P190" t="s">
        <v>32</v>
      </c>
      <c r="Q190" t="s">
        <v>29</v>
      </c>
      <c r="R190" t="s">
        <v>29</v>
      </c>
      <c r="S190" t="s">
        <v>29</v>
      </c>
      <c r="T190" t="s">
        <v>23</v>
      </c>
      <c r="U190" t="s">
        <v>24</v>
      </c>
      <c r="V190" t="s">
        <v>23</v>
      </c>
    </row>
    <row r="191" spans="1:22">
      <c r="A191" t="s">
        <v>227</v>
      </c>
      <c r="B191" s="21">
        <v>19</v>
      </c>
      <c r="C191" s="21">
        <v>162851</v>
      </c>
      <c r="D191" s="21">
        <v>523</v>
      </c>
      <c r="E191" t="str">
        <f>VLOOKUP(Table13[[#This Row],[Credit_Score]],Table4[],2,TRUE)</f>
        <v>High Risk</v>
      </c>
      <c r="F191">
        <v>0.14427383335803901</v>
      </c>
      <c r="G191" t="str">
        <f>IF(Table13[[#This Row],[Credit_Utilization]]&lt;0.3,"Low Utilization",
IF(Table13[[#This Row],[Credit_Utilization]]&lt;0.7,"Moderate Utilization",
"High Utilization"))</f>
        <v>Low Utilization</v>
      </c>
      <c r="H191" s="21">
        <v>6</v>
      </c>
      <c r="I191" s="21">
        <v>0</v>
      </c>
      <c r="J191" s="21">
        <v>44437</v>
      </c>
      <c r="K191">
        <v>0.34773506397364701</v>
      </c>
      <c r="L191" t="str">
        <f>IF(Table13[[#This Row],[Debt_to_Income_Ratio]]&lt;0.3,"Low DTI", IF(Table13[[#This Row],[Debt_to_Income_Ratio]]&lt;0.5,"Moderate DTI", "High DTI"))</f>
        <v>Moderate DTI</v>
      </c>
      <c r="M191" t="s">
        <v>43</v>
      </c>
      <c r="N191" s="21">
        <v>14</v>
      </c>
      <c r="O191" t="s">
        <v>37</v>
      </c>
      <c r="P191" t="s">
        <v>32</v>
      </c>
      <c r="Q191" t="s">
        <v>24</v>
      </c>
      <c r="R191" t="s">
        <v>29</v>
      </c>
      <c r="S191" t="s">
        <v>29</v>
      </c>
      <c r="T191" t="s">
        <v>23</v>
      </c>
      <c r="U191" t="s">
        <v>29</v>
      </c>
      <c r="V191" t="s">
        <v>23</v>
      </c>
    </row>
    <row r="192" spans="1:22">
      <c r="A192" t="s">
        <v>228</v>
      </c>
      <c r="B192" s="21">
        <v>59</v>
      </c>
      <c r="C192" s="21">
        <v>183513</v>
      </c>
      <c r="D192" s="21">
        <v>800</v>
      </c>
      <c r="E192" t="str">
        <f>VLOOKUP(Table13[[#This Row],[Credit_Score]],Table4[],2,TRUE)</f>
        <v>Low Risk</v>
      </c>
      <c r="F192">
        <v>0.75103969689064998</v>
      </c>
      <c r="G192" t="str">
        <f>IF(Table13[[#This Row],[Credit_Utilization]]&lt;0.3,"Low Utilization",
IF(Table13[[#This Row],[Credit_Utilization]]&lt;0.7,"Moderate Utilization",
"High Utilization"))</f>
        <v>High Utilization</v>
      </c>
      <c r="H192" s="21">
        <v>3</v>
      </c>
      <c r="I192" s="21">
        <v>1</v>
      </c>
      <c r="J192" s="21">
        <v>49016</v>
      </c>
      <c r="K192">
        <v>0.32929882083349699</v>
      </c>
      <c r="L192" t="str">
        <f>IF(Table13[[#This Row],[Debt_to_Income_Ratio]]&lt;0.3,"Low DTI", IF(Table13[[#This Row],[Debt_to_Income_Ratio]]&lt;0.5,"Moderate DTI", "High DTI"))</f>
        <v>Moderate DTI</v>
      </c>
      <c r="M192" t="s">
        <v>26</v>
      </c>
      <c r="N192" s="21">
        <v>2</v>
      </c>
      <c r="O192" t="s">
        <v>27</v>
      </c>
      <c r="P192" t="s">
        <v>32</v>
      </c>
      <c r="Q192" t="s">
        <v>24</v>
      </c>
      <c r="R192" t="s">
        <v>29</v>
      </c>
      <c r="S192" t="s">
        <v>23</v>
      </c>
      <c r="T192" t="s">
        <v>23</v>
      </c>
      <c r="U192" t="s">
        <v>23</v>
      </c>
      <c r="V192" t="s">
        <v>29</v>
      </c>
    </row>
    <row r="193" spans="1:22">
      <c r="A193" t="s">
        <v>229</v>
      </c>
      <c r="B193" s="21">
        <v>62</v>
      </c>
      <c r="C193" s="21">
        <v>42192</v>
      </c>
      <c r="D193" s="21">
        <v>301</v>
      </c>
      <c r="E193" t="str">
        <f>VLOOKUP(Table13[[#This Row],[Credit_Score]],Table4[],2,TRUE)</f>
        <v>High Risk</v>
      </c>
      <c r="F193">
        <v>0.53768320165948502</v>
      </c>
      <c r="G193" t="str">
        <f>IF(Table13[[#This Row],[Credit_Utilization]]&lt;0.3,"Low Utilization",
IF(Table13[[#This Row],[Credit_Utilization]]&lt;0.7,"Moderate Utilization",
"High Utilization"))</f>
        <v>Moderate Utilization</v>
      </c>
      <c r="H193" s="21">
        <v>1</v>
      </c>
      <c r="I193" s="21">
        <v>0</v>
      </c>
      <c r="J193" s="21">
        <v>45776</v>
      </c>
      <c r="K193">
        <v>0.33776145063289398</v>
      </c>
      <c r="L193" t="str">
        <f>IF(Table13[[#This Row],[Debt_to_Income_Ratio]]&lt;0.3,"Low DTI", IF(Table13[[#This Row],[Debt_to_Income_Ratio]]&lt;0.5,"Moderate DTI", "High DTI"))</f>
        <v>Moderate DTI</v>
      </c>
      <c r="M193" t="s">
        <v>43</v>
      </c>
      <c r="N193" s="21">
        <v>14</v>
      </c>
      <c r="O193" t="s">
        <v>21</v>
      </c>
      <c r="P193" t="s">
        <v>53</v>
      </c>
      <c r="Q193" t="s">
        <v>24</v>
      </c>
      <c r="R193" t="s">
        <v>24</v>
      </c>
      <c r="S193" t="s">
        <v>23</v>
      </c>
      <c r="T193" t="s">
        <v>24</v>
      </c>
      <c r="U193" t="s">
        <v>29</v>
      </c>
      <c r="V193" t="s">
        <v>23</v>
      </c>
    </row>
    <row r="194" spans="1:22">
      <c r="A194" t="s">
        <v>230</v>
      </c>
      <c r="B194" s="21">
        <v>74</v>
      </c>
      <c r="C194" s="21">
        <v>32019</v>
      </c>
      <c r="D194" s="21">
        <v>475</v>
      </c>
      <c r="E194" t="str">
        <f>VLOOKUP(Table13[[#This Row],[Credit_Score]],Table4[],2,TRUE)</f>
        <v>High Risk</v>
      </c>
      <c r="F194">
        <v>0.47481220541063301</v>
      </c>
      <c r="G194" t="str">
        <f>IF(Table13[[#This Row],[Credit_Utilization]]&lt;0.3,"Low Utilization",
IF(Table13[[#This Row],[Credit_Utilization]]&lt;0.7,"Moderate Utilization",
"High Utilization"))</f>
        <v>Moderate Utilization</v>
      </c>
      <c r="H194" s="21">
        <v>4</v>
      </c>
      <c r="I194" s="21">
        <v>0</v>
      </c>
      <c r="J194" s="21">
        <v>22835</v>
      </c>
      <c r="K194">
        <v>0.339259766446598</v>
      </c>
      <c r="L194" t="str">
        <f>IF(Table13[[#This Row],[Debt_to_Income_Ratio]]&lt;0.3,"Low DTI", IF(Table13[[#This Row],[Debt_to_Income_Ratio]]&lt;0.5,"Moderate DTI", "High DTI"))</f>
        <v>Moderate DTI</v>
      </c>
      <c r="M194" t="s">
        <v>26</v>
      </c>
      <c r="N194" s="21">
        <v>12</v>
      </c>
      <c r="O194" t="s">
        <v>45</v>
      </c>
      <c r="P194" t="s">
        <v>22</v>
      </c>
      <c r="Q194" t="s">
        <v>29</v>
      </c>
      <c r="R194" t="s">
        <v>29</v>
      </c>
      <c r="S194" t="s">
        <v>29</v>
      </c>
      <c r="T194" t="s">
        <v>29</v>
      </c>
      <c r="U194" t="s">
        <v>24</v>
      </c>
      <c r="V194" t="s">
        <v>24</v>
      </c>
    </row>
    <row r="195" spans="1:22">
      <c r="A195" t="s">
        <v>231</v>
      </c>
      <c r="B195" s="21">
        <v>70</v>
      </c>
      <c r="C195" s="21">
        <v>67638</v>
      </c>
      <c r="D195" s="21">
        <v>612</v>
      </c>
      <c r="E195" t="str">
        <f>VLOOKUP(Table13[[#This Row],[Credit_Score]],Table4[],2,TRUE)</f>
        <v>Medium Risk</v>
      </c>
      <c r="F195">
        <v>0.35650296278378302</v>
      </c>
      <c r="G195" t="str">
        <f>IF(Table13[[#This Row],[Credit_Utilization]]&lt;0.3,"Low Utilization",
IF(Table13[[#This Row],[Credit_Utilization]]&lt;0.7,"Moderate Utilization",
"High Utilization"))</f>
        <v>Moderate Utilization</v>
      </c>
      <c r="H195" s="21">
        <v>0</v>
      </c>
      <c r="I195" s="21">
        <v>0</v>
      </c>
      <c r="J195" s="21">
        <v>34897</v>
      </c>
      <c r="K195">
        <v>0.45905033445648302</v>
      </c>
      <c r="L195" t="str">
        <f>IF(Table13[[#This Row],[Debt_to_Income_Ratio]]&lt;0.3,"Low DTI", IF(Table13[[#This Row],[Debt_to_Income_Ratio]]&lt;0.5,"Moderate DTI", "High DTI"))</f>
        <v>Moderate DTI</v>
      </c>
      <c r="M195" t="s">
        <v>43</v>
      </c>
      <c r="N195" s="21">
        <v>8</v>
      </c>
      <c r="O195" t="s">
        <v>27</v>
      </c>
      <c r="P195" t="s">
        <v>53</v>
      </c>
      <c r="Q195" t="s">
        <v>24</v>
      </c>
      <c r="R195" t="s">
        <v>23</v>
      </c>
      <c r="S195" t="s">
        <v>24</v>
      </c>
      <c r="T195" t="s">
        <v>24</v>
      </c>
      <c r="U195" t="s">
        <v>24</v>
      </c>
      <c r="V195" t="s">
        <v>24</v>
      </c>
    </row>
    <row r="196" spans="1:22">
      <c r="A196" t="s">
        <v>232</v>
      </c>
      <c r="B196" s="21">
        <v>23</v>
      </c>
      <c r="C196" s="21">
        <v>198401</v>
      </c>
      <c r="D196" s="21">
        <v>820</v>
      </c>
      <c r="E196" t="str">
        <f>VLOOKUP(Table13[[#This Row],[Credit_Score]],Table4[],2,TRUE)</f>
        <v>Low Risk</v>
      </c>
      <c r="F196">
        <v>0.505955852646924</v>
      </c>
      <c r="G196" t="str">
        <f>IF(Table13[[#This Row],[Credit_Utilization]]&lt;0.3,"Low Utilization",
IF(Table13[[#This Row],[Credit_Utilization]]&lt;0.7,"Moderate Utilization",
"High Utilization"))</f>
        <v>Moderate Utilization</v>
      </c>
      <c r="H196" s="21">
        <v>2</v>
      </c>
      <c r="I196" s="21">
        <v>1</v>
      </c>
      <c r="J196" s="21">
        <v>42556</v>
      </c>
      <c r="K196">
        <v>0.25403231315107</v>
      </c>
      <c r="L196" t="str">
        <f>IF(Table13[[#This Row],[Debt_to_Income_Ratio]]&lt;0.3,"Low DTI", IF(Table13[[#This Row],[Debt_to_Income_Ratio]]&lt;0.5,"Moderate DTI", "High DTI"))</f>
        <v>Low DTI</v>
      </c>
      <c r="M196" t="s">
        <v>43</v>
      </c>
      <c r="N196" s="21">
        <v>1</v>
      </c>
      <c r="O196" t="s">
        <v>45</v>
      </c>
      <c r="P196" t="s">
        <v>28</v>
      </c>
      <c r="Q196" t="s">
        <v>24</v>
      </c>
      <c r="R196" t="s">
        <v>24</v>
      </c>
      <c r="S196" t="s">
        <v>24</v>
      </c>
      <c r="T196" t="s">
        <v>23</v>
      </c>
      <c r="U196" t="s">
        <v>29</v>
      </c>
      <c r="V196" t="s">
        <v>23</v>
      </c>
    </row>
    <row r="197" spans="1:22">
      <c r="A197" t="s">
        <v>233</v>
      </c>
      <c r="B197" s="21">
        <v>45</v>
      </c>
      <c r="C197" s="21">
        <v>153429</v>
      </c>
      <c r="D197" s="21">
        <v>836</v>
      </c>
      <c r="E197" t="str">
        <f>VLOOKUP(Table13[[#This Row],[Credit_Score]],Table4[],2,TRUE)</f>
        <v>Low Risk</v>
      </c>
      <c r="F197">
        <v>0.33040402446893302</v>
      </c>
      <c r="G197" t="str">
        <f>IF(Table13[[#This Row],[Credit_Utilization]]&lt;0.3,"Low Utilization",
IF(Table13[[#This Row],[Credit_Utilization]]&lt;0.7,"Moderate Utilization",
"High Utilization"))</f>
        <v>Moderate Utilization</v>
      </c>
      <c r="H197" s="21">
        <v>5</v>
      </c>
      <c r="I197" s="21">
        <v>0</v>
      </c>
      <c r="J197" s="21">
        <v>45776</v>
      </c>
      <c r="K197">
        <v>0.147426409679631</v>
      </c>
      <c r="L197" t="str">
        <f>IF(Table13[[#This Row],[Debt_to_Income_Ratio]]&lt;0.3,"Low DTI", IF(Table13[[#This Row],[Debt_to_Income_Ratio]]&lt;0.5,"Moderate DTI", "High DTI"))</f>
        <v>Low DTI</v>
      </c>
      <c r="M197" t="s">
        <v>50</v>
      </c>
      <c r="N197" s="21">
        <v>7</v>
      </c>
      <c r="O197" t="s">
        <v>37</v>
      </c>
      <c r="P197" t="s">
        <v>53</v>
      </c>
      <c r="Q197" t="s">
        <v>23</v>
      </c>
      <c r="R197" t="s">
        <v>29</v>
      </c>
      <c r="S197" t="s">
        <v>24</v>
      </c>
      <c r="T197" t="s">
        <v>23</v>
      </c>
      <c r="U197" t="s">
        <v>23</v>
      </c>
      <c r="V197" t="s">
        <v>24</v>
      </c>
    </row>
    <row r="198" spans="1:22">
      <c r="A198" t="s">
        <v>234</v>
      </c>
      <c r="B198" s="21">
        <v>45</v>
      </c>
      <c r="C198" s="21">
        <v>141020</v>
      </c>
      <c r="D198" s="21">
        <v>670</v>
      </c>
      <c r="E198" t="str">
        <f>VLOOKUP(Table13[[#This Row],[Credit_Score]],Table4[],2,TRUE)</f>
        <v>Medium Risk</v>
      </c>
      <c r="F198">
        <v>0.53480371132411997</v>
      </c>
      <c r="G198" t="str">
        <f>IF(Table13[[#This Row],[Credit_Utilization]]&lt;0.3,"Low Utilization",
IF(Table13[[#This Row],[Credit_Utilization]]&lt;0.7,"Moderate Utilization",
"High Utilization"))</f>
        <v>Moderate Utilization</v>
      </c>
      <c r="H198" s="21">
        <v>6</v>
      </c>
      <c r="I198" s="21">
        <v>0</v>
      </c>
      <c r="J198" s="21">
        <v>39259</v>
      </c>
      <c r="K198">
        <v>0.23021262313841101</v>
      </c>
      <c r="L198" t="str">
        <f>IF(Table13[[#This Row],[Debt_to_Income_Ratio]]&lt;0.3,"Low DTI", IF(Table13[[#This Row],[Debt_to_Income_Ratio]]&lt;0.5,"Moderate DTI", "High DTI"))</f>
        <v>Low DTI</v>
      </c>
      <c r="M198" t="s">
        <v>50</v>
      </c>
      <c r="N198" s="21">
        <v>19</v>
      </c>
      <c r="O198" t="s">
        <v>37</v>
      </c>
      <c r="P198" t="s">
        <v>28</v>
      </c>
      <c r="Q198" t="s">
        <v>29</v>
      </c>
      <c r="R198" t="s">
        <v>23</v>
      </c>
      <c r="S198" t="s">
        <v>29</v>
      </c>
      <c r="T198" t="s">
        <v>24</v>
      </c>
      <c r="U198" t="s">
        <v>23</v>
      </c>
      <c r="V198" t="s">
        <v>24</v>
      </c>
    </row>
    <row r="199" spans="1:22">
      <c r="A199" t="s">
        <v>235</v>
      </c>
      <c r="B199" s="21">
        <v>61</v>
      </c>
      <c r="C199" s="21">
        <v>59238</v>
      </c>
      <c r="D199" s="21">
        <v>847</v>
      </c>
      <c r="E199" t="str">
        <f>VLOOKUP(Table13[[#This Row],[Credit_Score]],Table4[],2,TRUE)</f>
        <v>Low Risk</v>
      </c>
      <c r="F199">
        <v>0.54914679658427001</v>
      </c>
      <c r="G199" t="str">
        <f>IF(Table13[[#This Row],[Credit_Utilization]]&lt;0.3,"Low Utilization",
IF(Table13[[#This Row],[Credit_Utilization]]&lt;0.7,"Moderate Utilization",
"High Utilization"))</f>
        <v>Moderate Utilization</v>
      </c>
      <c r="H199" s="21">
        <v>5</v>
      </c>
      <c r="I199" s="21">
        <v>1</v>
      </c>
      <c r="J199" s="21">
        <v>22835</v>
      </c>
      <c r="K199">
        <v>0.37572669335353998</v>
      </c>
      <c r="L199" t="str">
        <f>IF(Table13[[#This Row],[Debt_to_Income_Ratio]]&lt;0.3,"Low DTI", IF(Table13[[#This Row],[Debt_to_Income_Ratio]]&lt;0.5,"Moderate DTI", "High DTI"))</f>
        <v>Moderate DTI</v>
      </c>
      <c r="M199" t="s">
        <v>34</v>
      </c>
      <c r="N199" s="21">
        <v>16</v>
      </c>
      <c r="O199" t="s">
        <v>27</v>
      </c>
      <c r="P199" t="s">
        <v>38</v>
      </c>
      <c r="Q199" t="s">
        <v>29</v>
      </c>
      <c r="R199" t="s">
        <v>24</v>
      </c>
      <c r="S199" t="s">
        <v>24</v>
      </c>
      <c r="T199" t="s">
        <v>29</v>
      </c>
      <c r="U199" t="s">
        <v>29</v>
      </c>
      <c r="V199" t="s">
        <v>29</v>
      </c>
    </row>
    <row r="200" spans="1:22">
      <c r="A200" t="s">
        <v>236</v>
      </c>
      <c r="B200" s="21">
        <v>61</v>
      </c>
      <c r="C200" s="21">
        <v>88847</v>
      </c>
      <c r="D200" s="21">
        <v>751</v>
      </c>
      <c r="E200" t="str">
        <f>VLOOKUP(Table13[[#This Row],[Credit_Score]],Table4[],2,TRUE)</f>
        <v>Low Risk</v>
      </c>
      <c r="F200">
        <v>0.327723259528651</v>
      </c>
      <c r="G200" t="str">
        <f>IF(Table13[[#This Row],[Credit_Utilization]]&lt;0.3,"Low Utilization",
IF(Table13[[#This Row],[Credit_Utilization]]&lt;0.7,"Moderate Utilization",
"High Utilization"))</f>
        <v>Moderate Utilization</v>
      </c>
      <c r="H200" s="21">
        <v>4</v>
      </c>
      <c r="I200" s="21">
        <v>0</v>
      </c>
      <c r="J200" s="21">
        <v>72809</v>
      </c>
      <c r="K200">
        <v>0.30233295086471701</v>
      </c>
      <c r="L200" t="str">
        <f>IF(Table13[[#This Row],[Debt_to_Income_Ratio]]&lt;0.3,"Low DTI", IF(Table13[[#This Row],[Debt_to_Income_Ratio]]&lt;0.5,"Moderate DTI", "High DTI"))</f>
        <v>Moderate DTI</v>
      </c>
      <c r="M200" t="s">
        <v>43</v>
      </c>
      <c r="N200" s="21">
        <v>12</v>
      </c>
      <c r="O200" t="s">
        <v>45</v>
      </c>
      <c r="P200" t="s">
        <v>38</v>
      </c>
      <c r="Q200" t="s">
        <v>24</v>
      </c>
      <c r="R200" t="s">
        <v>23</v>
      </c>
      <c r="S200" t="s">
        <v>23</v>
      </c>
      <c r="T200" t="s">
        <v>29</v>
      </c>
      <c r="U200" t="s">
        <v>24</v>
      </c>
      <c r="V200" t="s">
        <v>24</v>
      </c>
    </row>
    <row r="201" spans="1:22">
      <c r="A201" t="s">
        <v>237</v>
      </c>
      <c r="B201" s="21">
        <v>37</v>
      </c>
      <c r="C201" s="21">
        <v>69098</v>
      </c>
      <c r="D201" s="21">
        <v>648</v>
      </c>
      <c r="E201" t="str">
        <f>VLOOKUP(Table13[[#This Row],[Credit_Score]],Table4[],2,TRUE)</f>
        <v>Medium Risk</v>
      </c>
      <c r="F201">
        <v>0.32390760703551802</v>
      </c>
      <c r="G201" t="str">
        <f>IF(Table13[[#This Row],[Credit_Utilization]]&lt;0.3,"Low Utilization",
IF(Table13[[#This Row],[Credit_Utilization]]&lt;0.7,"Moderate Utilization",
"High Utilization"))</f>
        <v>Moderate Utilization</v>
      </c>
      <c r="H201" s="21">
        <v>6</v>
      </c>
      <c r="I201" s="21">
        <v>0</v>
      </c>
      <c r="J201" s="21">
        <v>85014</v>
      </c>
      <c r="K201">
        <v>0.25324006595050003</v>
      </c>
      <c r="L201" t="str">
        <f>IF(Table13[[#This Row],[Debt_to_Income_Ratio]]&lt;0.3,"Low DTI", IF(Table13[[#This Row],[Debt_to_Income_Ratio]]&lt;0.5,"Moderate DTI", "High DTI"))</f>
        <v>Low DTI</v>
      </c>
      <c r="M201" t="s">
        <v>50</v>
      </c>
      <c r="N201" s="21">
        <v>0</v>
      </c>
      <c r="O201" t="s">
        <v>37</v>
      </c>
      <c r="P201" t="s">
        <v>28</v>
      </c>
      <c r="Q201" t="s">
        <v>23</v>
      </c>
      <c r="R201" t="s">
        <v>23</v>
      </c>
      <c r="S201" t="s">
        <v>24</v>
      </c>
      <c r="T201" t="s">
        <v>29</v>
      </c>
      <c r="U201" t="s">
        <v>29</v>
      </c>
      <c r="V201" t="s">
        <v>23</v>
      </c>
    </row>
    <row r="202" spans="1:22">
      <c r="A202" t="s">
        <v>238</v>
      </c>
      <c r="B202" s="21">
        <v>47</v>
      </c>
      <c r="C202" s="21">
        <v>62295</v>
      </c>
      <c r="D202" s="21">
        <v>383</v>
      </c>
      <c r="E202" t="str">
        <f>VLOOKUP(Table13[[#This Row],[Credit_Score]],Table4[],2,TRUE)</f>
        <v>High Risk</v>
      </c>
      <c r="F202">
        <v>0.69243987091902304</v>
      </c>
      <c r="G202" t="str">
        <f>IF(Table13[[#This Row],[Credit_Utilization]]&lt;0.3,"Low Utilization",
IF(Table13[[#This Row],[Credit_Utilization]]&lt;0.7,"Moderate Utilization",
"High Utilization"))</f>
        <v>Moderate Utilization</v>
      </c>
      <c r="H202" s="21">
        <v>6</v>
      </c>
      <c r="I202" s="21">
        <v>0</v>
      </c>
      <c r="J202" s="21">
        <v>49016</v>
      </c>
      <c r="K202">
        <v>0.192350273159035</v>
      </c>
      <c r="L202" t="str">
        <f>IF(Table13[[#This Row],[Debt_to_Income_Ratio]]&lt;0.3,"Low DTI", IF(Table13[[#This Row],[Debt_to_Income_Ratio]]&lt;0.5,"Moderate DTI", "High DTI"))</f>
        <v>Low DTI</v>
      </c>
      <c r="M202" t="s">
        <v>43</v>
      </c>
      <c r="N202" s="21">
        <v>1</v>
      </c>
      <c r="O202" t="s">
        <v>21</v>
      </c>
      <c r="P202" t="s">
        <v>28</v>
      </c>
      <c r="Q202" t="s">
        <v>29</v>
      </c>
      <c r="R202" t="s">
        <v>23</v>
      </c>
      <c r="S202" t="s">
        <v>23</v>
      </c>
      <c r="T202" t="s">
        <v>23</v>
      </c>
      <c r="U202" t="s">
        <v>24</v>
      </c>
      <c r="V202" t="s">
        <v>29</v>
      </c>
    </row>
    <row r="203" spans="1:22">
      <c r="A203" t="s">
        <v>239</v>
      </c>
      <c r="B203" s="21">
        <v>28</v>
      </c>
      <c r="C203" s="21">
        <v>164143</v>
      </c>
      <c r="D203" s="21">
        <v>310</v>
      </c>
      <c r="E203" t="str">
        <f>VLOOKUP(Table13[[#This Row],[Credit_Score]],Table4[],2,TRUE)</f>
        <v>High Risk</v>
      </c>
      <c r="F203">
        <v>0.48942800914173901</v>
      </c>
      <c r="G203" t="str">
        <f>IF(Table13[[#This Row],[Credit_Utilization]]&lt;0.3,"Low Utilization",
IF(Table13[[#This Row],[Credit_Utilization]]&lt;0.7,"Moderate Utilization",
"High Utilization"))</f>
        <v>Moderate Utilization</v>
      </c>
      <c r="H203" s="21">
        <v>0</v>
      </c>
      <c r="I203" s="21">
        <v>0</v>
      </c>
      <c r="J203" s="21">
        <v>95376</v>
      </c>
      <c r="K203">
        <v>0.322128612173053</v>
      </c>
      <c r="L203" t="str">
        <f>IF(Table13[[#This Row],[Debt_to_Income_Ratio]]&lt;0.3,"Low DTI", IF(Table13[[#This Row],[Debt_to_Income_Ratio]]&lt;0.5,"Moderate DTI", "High DTI"))</f>
        <v>Moderate DTI</v>
      </c>
      <c r="M203" t="s">
        <v>43</v>
      </c>
      <c r="N203" s="21">
        <v>14</v>
      </c>
      <c r="O203" t="s">
        <v>31</v>
      </c>
      <c r="P203" t="s">
        <v>53</v>
      </c>
      <c r="Q203" t="s">
        <v>24</v>
      </c>
      <c r="R203" t="s">
        <v>24</v>
      </c>
      <c r="S203" t="s">
        <v>24</v>
      </c>
      <c r="T203" t="s">
        <v>24</v>
      </c>
      <c r="U203" t="s">
        <v>29</v>
      </c>
      <c r="V203" t="s">
        <v>24</v>
      </c>
    </row>
    <row r="204" spans="1:22">
      <c r="A204" t="s">
        <v>240</v>
      </c>
      <c r="B204" s="21">
        <v>72</v>
      </c>
      <c r="C204" s="21">
        <v>143778</v>
      </c>
      <c r="D204" s="21">
        <v>352</v>
      </c>
      <c r="E204" t="str">
        <f>VLOOKUP(Table13[[#This Row],[Credit_Score]],Table4[],2,TRUE)</f>
        <v>High Risk</v>
      </c>
      <c r="F204">
        <v>0.34379591414702099</v>
      </c>
      <c r="G204" t="str">
        <f>IF(Table13[[#This Row],[Credit_Utilization]]&lt;0.3,"Low Utilization",
IF(Table13[[#This Row],[Credit_Utilization]]&lt;0.7,"Moderate Utilization",
"High Utilization"))</f>
        <v>Moderate Utilization</v>
      </c>
      <c r="H204" s="21">
        <v>6</v>
      </c>
      <c r="I204" s="21">
        <v>0</v>
      </c>
      <c r="J204" s="21">
        <v>10778</v>
      </c>
      <c r="K204">
        <v>0.36445062752738</v>
      </c>
      <c r="L204" t="str">
        <f>IF(Table13[[#This Row],[Debt_to_Income_Ratio]]&lt;0.3,"Low DTI", IF(Table13[[#This Row],[Debt_to_Income_Ratio]]&lt;0.5,"Moderate DTI", "High DTI"))</f>
        <v>Moderate DTI</v>
      </c>
      <c r="M204" t="s">
        <v>43</v>
      </c>
      <c r="N204" s="21">
        <v>11</v>
      </c>
      <c r="O204" t="s">
        <v>31</v>
      </c>
      <c r="P204" t="s">
        <v>28</v>
      </c>
      <c r="Q204" t="s">
        <v>24</v>
      </c>
      <c r="R204" t="s">
        <v>29</v>
      </c>
      <c r="S204" t="s">
        <v>23</v>
      </c>
      <c r="T204" t="s">
        <v>23</v>
      </c>
      <c r="U204" t="s">
        <v>24</v>
      </c>
      <c r="V204" t="s">
        <v>23</v>
      </c>
    </row>
    <row r="205" spans="1:22">
      <c r="A205" t="s">
        <v>241</v>
      </c>
      <c r="B205" s="21">
        <v>45</v>
      </c>
      <c r="C205" s="21">
        <v>154487</v>
      </c>
      <c r="D205" s="21">
        <v>725</v>
      </c>
      <c r="E205" t="str">
        <f>VLOOKUP(Table13[[#This Row],[Credit_Score]],Table4[],2,TRUE)</f>
        <v>Medium Risk</v>
      </c>
      <c r="F205">
        <v>0.42589873966209602</v>
      </c>
      <c r="G205" t="str">
        <f>IF(Table13[[#This Row],[Credit_Utilization]]&lt;0.3,"Low Utilization",
IF(Table13[[#This Row],[Credit_Utilization]]&lt;0.7,"Moderate Utilization",
"High Utilization"))</f>
        <v>Moderate Utilization</v>
      </c>
      <c r="H205" s="21">
        <v>3</v>
      </c>
      <c r="I205" s="21">
        <v>0</v>
      </c>
      <c r="J205" s="21">
        <v>95930</v>
      </c>
      <c r="K205">
        <v>0.33058720550960202</v>
      </c>
      <c r="L205" t="str">
        <f>IF(Table13[[#This Row],[Debt_to_Income_Ratio]]&lt;0.3,"Low DTI", IF(Table13[[#This Row],[Debt_to_Income_Ratio]]&lt;0.5,"Moderate DTI", "High DTI"))</f>
        <v>Moderate DTI</v>
      </c>
      <c r="M205" t="s">
        <v>43</v>
      </c>
      <c r="N205" s="21">
        <v>13</v>
      </c>
      <c r="O205" t="s">
        <v>37</v>
      </c>
      <c r="P205" t="s">
        <v>22</v>
      </c>
      <c r="Q205" t="s">
        <v>24</v>
      </c>
      <c r="R205" t="s">
        <v>23</v>
      </c>
      <c r="S205" t="s">
        <v>23</v>
      </c>
      <c r="T205" t="s">
        <v>24</v>
      </c>
      <c r="U205" t="s">
        <v>24</v>
      </c>
      <c r="V205" t="s">
        <v>24</v>
      </c>
    </row>
    <row r="206" spans="1:22">
      <c r="A206" t="s">
        <v>242</v>
      </c>
      <c r="B206" s="21">
        <v>42</v>
      </c>
      <c r="C206" s="21">
        <v>107658</v>
      </c>
      <c r="D206" s="21">
        <v>836</v>
      </c>
      <c r="E206" t="str">
        <f>VLOOKUP(Table13[[#This Row],[Credit_Score]],Table4[],2,TRUE)</f>
        <v>Low Risk</v>
      </c>
      <c r="F206">
        <v>0.29788118265867802</v>
      </c>
      <c r="G206" t="str">
        <f>IF(Table13[[#This Row],[Credit_Utilization]]&lt;0.3,"Low Utilization",
IF(Table13[[#This Row],[Credit_Utilization]]&lt;0.7,"Moderate Utilization",
"High Utilization"))</f>
        <v>Low Utilization</v>
      </c>
      <c r="H206" s="21">
        <v>1</v>
      </c>
      <c r="I206" s="21">
        <v>0</v>
      </c>
      <c r="J206" s="21">
        <v>27697</v>
      </c>
      <c r="K206">
        <v>0.27466696688450498</v>
      </c>
      <c r="L206" t="str">
        <f>IF(Table13[[#This Row],[Debt_to_Income_Ratio]]&lt;0.3,"Low DTI", IF(Table13[[#This Row],[Debt_to_Income_Ratio]]&lt;0.5,"Moderate DTI", "High DTI"))</f>
        <v>Low DTI</v>
      </c>
      <c r="M206" t="s">
        <v>34</v>
      </c>
      <c r="N206" s="21">
        <v>1</v>
      </c>
      <c r="O206" t="s">
        <v>45</v>
      </c>
      <c r="P206" t="s">
        <v>38</v>
      </c>
      <c r="Q206" t="s">
        <v>23</v>
      </c>
      <c r="R206" t="s">
        <v>24</v>
      </c>
      <c r="S206" t="s">
        <v>29</v>
      </c>
      <c r="T206" t="s">
        <v>23</v>
      </c>
      <c r="U206" t="s">
        <v>23</v>
      </c>
      <c r="V206" t="s">
        <v>29</v>
      </c>
    </row>
    <row r="207" spans="1:22">
      <c r="A207" t="s">
        <v>243</v>
      </c>
      <c r="B207" s="21">
        <v>56</v>
      </c>
      <c r="C207" s="21">
        <v>166456</v>
      </c>
      <c r="D207" s="21">
        <v>522</v>
      </c>
      <c r="E207" t="str">
        <f>VLOOKUP(Table13[[#This Row],[Credit_Score]],Table4[],2,TRUE)</f>
        <v>High Risk</v>
      </c>
      <c r="F207">
        <v>0.48656328386761599</v>
      </c>
      <c r="G207" t="str">
        <f>IF(Table13[[#This Row],[Credit_Utilization]]&lt;0.3,"Low Utilization",
IF(Table13[[#This Row],[Credit_Utilization]]&lt;0.7,"Moderate Utilization",
"High Utilization"))</f>
        <v>Moderate Utilization</v>
      </c>
      <c r="H207" s="21">
        <v>1</v>
      </c>
      <c r="I207" s="21">
        <v>1</v>
      </c>
      <c r="J207" s="21">
        <v>33772</v>
      </c>
      <c r="K207">
        <v>0.314664128429746</v>
      </c>
      <c r="L207" t="str">
        <f>IF(Table13[[#This Row],[Debt_to_Income_Ratio]]&lt;0.3,"Low DTI", IF(Table13[[#This Row],[Debt_to_Income_Ratio]]&lt;0.5,"Moderate DTI", "High DTI"))</f>
        <v>Moderate DTI</v>
      </c>
      <c r="M207" t="s">
        <v>50</v>
      </c>
      <c r="N207" s="21">
        <v>17</v>
      </c>
      <c r="O207" t="s">
        <v>37</v>
      </c>
      <c r="P207" t="s">
        <v>38</v>
      </c>
      <c r="Q207" t="s">
        <v>29</v>
      </c>
      <c r="R207" t="s">
        <v>29</v>
      </c>
      <c r="S207" t="s">
        <v>24</v>
      </c>
      <c r="T207" t="s">
        <v>23</v>
      </c>
      <c r="U207" t="s">
        <v>24</v>
      </c>
      <c r="V207" t="s">
        <v>29</v>
      </c>
    </row>
    <row r="208" spans="1:22">
      <c r="A208" t="s">
        <v>244</v>
      </c>
      <c r="B208" s="21">
        <v>50</v>
      </c>
      <c r="C208" s="21">
        <v>36447</v>
      </c>
      <c r="D208" s="21">
        <v>610</v>
      </c>
      <c r="E208" t="str">
        <f>VLOOKUP(Table13[[#This Row],[Credit_Score]],Table4[],2,TRUE)</f>
        <v>Medium Risk</v>
      </c>
      <c r="F208">
        <v>0.66632566153289297</v>
      </c>
      <c r="G208" t="str">
        <f>IF(Table13[[#This Row],[Credit_Utilization]]&lt;0.3,"Low Utilization",
IF(Table13[[#This Row],[Credit_Utilization]]&lt;0.7,"Moderate Utilization",
"High Utilization"))</f>
        <v>Moderate Utilization</v>
      </c>
      <c r="H208" s="21">
        <v>1</v>
      </c>
      <c r="I208" s="21">
        <v>0</v>
      </c>
      <c r="J208" s="21">
        <v>42637</v>
      </c>
      <c r="K208">
        <v>0.314084296655741</v>
      </c>
      <c r="L208" t="str">
        <f>IF(Table13[[#This Row],[Debt_to_Income_Ratio]]&lt;0.3,"Low DTI", IF(Table13[[#This Row],[Debt_to_Income_Ratio]]&lt;0.5,"Moderate DTI", "High DTI"))</f>
        <v>Moderate DTI</v>
      </c>
      <c r="M208" t="s">
        <v>43</v>
      </c>
      <c r="N208" s="21">
        <v>6</v>
      </c>
      <c r="O208" t="s">
        <v>45</v>
      </c>
      <c r="P208" t="s">
        <v>28</v>
      </c>
      <c r="Q208" t="s">
        <v>29</v>
      </c>
      <c r="R208" t="s">
        <v>24</v>
      </c>
      <c r="S208" t="s">
        <v>24</v>
      </c>
      <c r="T208" t="s">
        <v>23</v>
      </c>
      <c r="U208" t="s">
        <v>23</v>
      </c>
      <c r="V208" t="s">
        <v>23</v>
      </c>
    </row>
    <row r="209" spans="1:22">
      <c r="A209" t="s">
        <v>245</v>
      </c>
      <c r="B209" s="21">
        <v>18</v>
      </c>
      <c r="C209" s="21">
        <v>165159</v>
      </c>
      <c r="D209" s="21">
        <v>679</v>
      </c>
      <c r="E209" t="str">
        <f>VLOOKUP(Table13[[#This Row],[Credit_Score]],Table4[],2,TRUE)</f>
        <v>Medium Risk</v>
      </c>
      <c r="F209">
        <v>0.49446586648114699</v>
      </c>
      <c r="G209" t="str">
        <f>IF(Table13[[#This Row],[Credit_Utilization]]&lt;0.3,"Low Utilization",
IF(Table13[[#This Row],[Credit_Utilization]]&lt;0.7,"Moderate Utilization",
"High Utilization"))</f>
        <v>Moderate Utilization</v>
      </c>
      <c r="H209" s="21">
        <v>3</v>
      </c>
      <c r="I209" s="21">
        <v>0</v>
      </c>
      <c r="J209" s="21">
        <v>3081</v>
      </c>
      <c r="K209">
        <v>0.31896969312176598</v>
      </c>
      <c r="L209" t="str">
        <f>IF(Table13[[#This Row],[Debt_to_Income_Ratio]]&lt;0.3,"Low DTI", IF(Table13[[#This Row],[Debt_to_Income_Ratio]]&lt;0.5,"Moderate DTI", "High DTI"))</f>
        <v>Moderate DTI</v>
      </c>
      <c r="M209" t="s">
        <v>26</v>
      </c>
      <c r="N209" s="21">
        <v>5</v>
      </c>
      <c r="O209" t="s">
        <v>21</v>
      </c>
      <c r="P209" t="s">
        <v>32</v>
      </c>
      <c r="Q209" t="s">
        <v>24</v>
      </c>
      <c r="R209" t="s">
        <v>24</v>
      </c>
      <c r="S209" t="s">
        <v>29</v>
      </c>
      <c r="T209" t="s">
        <v>29</v>
      </c>
      <c r="U209" t="s">
        <v>23</v>
      </c>
      <c r="V209" t="s">
        <v>29</v>
      </c>
    </row>
    <row r="210" spans="1:22">
      <c r="A210" t="s">
        <v>246</v>
      </c>
      <c r="B210" s="21">
        <v>74</v>
      </c>
      <c r="C210" s="21">
        <v>107658</v>
      </c>
      <c r="D210" s="21">
        <v>709</v>
      </c>
      <c r="E210" t="str">
        <f>VLOOKUP(Table13[[#This Row],[Credit_Score]],Table4[],2,TRUE)</f>
        <v>Medium Risk</v>
      </c>
      <c r="F210">
        <v>0.97272668873507695</v>
      </c>
      <c r="G210" t="str">
        <f>IF(Table13[[#This Row],[Credit_Utilization]]&lt;0.3,"Low Utilization",
IF(Table13[[#This Row],[Credit_Utilization]]&lt;0.7,"Moderate Utilization",
"High Utilization"))</f>
        <v>High Utilization</v>
      </c>
      <c r="H210" s="21">
        <v>5</v>
      </c>
      <c r="I210" s="21">
        <v>0</v>
      </c>
      <c r="J210" s="21">
        <v>45776</v>
      </c>
      <c r="K210">
        <v>0.18156950489808699</v>
      </c>
      <c r="L210" t="str">
        <f>IF(Table13[[#This Row],[Debt_to_Income_Ratio]]&lt;0.3,"Low DTI", IF(Table13[[#This Row],[Debt_to_Income_Ratio]]&lt;0.5,"Moderate DTI", "High DTI"))</f>
        <v>Low DTI</v>
      </c>
      <c r="M210" t="s">
        <v>43</v>
      </c>
      <c r="N210" s="21">
        <v>13</v>
      </c>
      <c r="O210" t="s">
        <v>45</v>
      </c>
      <c r="P210" t="s">
        <v>32</v>
      </c>
      <c r="Q210" t="s">
        <v>29</v>
      </c>
      <c r="R210" t="s">
        <v>29</v>
      </c>
      <c r="S210" t="s">
        <v>24</v>
      </c>
      <c r="T210" t="s">
        <v>24</v>
      </c>
      <c r="U210" t="s">
        <v>24</v>
      </c>
      <c r="V210" t="s">
        <v>29</v>
      </c>
    </row>
    <row r="211" spans="1:22">
      <c r="A211" t="s">
        <v>247</v>
      </c>
      <c r="B211" s="21">
        <v>44</v>
      </c>
      <c r="C211" s="21">
        <v>40934</v>
      </c>
      <c r="D211" s="21">
        <v>566</v>
      </c>
      <c r="E211" t="str">
        <f>VLOOKUP(Table13[[#This Row],[Credit_Score]],Table4[],2,TRUE)</f>
        <v>High Risk</v>
      </c>
      <c r="F211">
        <v>0.58427191360980002</v>
      </c>
      <c r="G211" t="str">
        <f>IF(Table13[[#This Row],[Credit_Utilization]]&lt;0.3,"Low Utilization",
IF(Table13[[#This Row],[Credit_Utilization]]&lt;0.7,"Moderate Utilization",
"High Utilization"))</f>
        <v>Moderate Utilization</v>
      </c>
      <c r="H211" s="21">
        <v>0</v>
      </c>
      <c r="I211" s="21">
        <v>0</v>
      </c>
      <c r="J211" s="21">
        <v>8828</v>
      </c>
      <c r="K211">
        <v>0.31973263506148702</v>
      </c>
      <c r="L211" t="str">
        <f>IF(Table13[[#This Row],[Debt_to_Income_Ratio]]&lt;0.3,"Low DTI", IF(Table13[[#This Row],[Debt_to_Income_Ratio]]&lt;0.5,"Moderate DTI", "High DTI"))</f>
        <v>Moderate DTI</v>
      </c>
      <c r="M211" t="s">
        <v>43</v>
      </c>
      <c r="N211" s="21">
        <v>7</v>
      </c>
      <c r="O211" t="s">
        <v>37</v>
      </c>
      <c r="P211" t="s">
        <v>28</v>
      </c>
      <c r="Q211" t="s">
        <v>29</v>
      </c>
      <c r="R211" t="s">
        <v>29</v>
      </c>
      <c r="S211" t="s">
        <v>29</v>
      </c>
      <c r="T211" t="s">
        <v>24</v>
      </c>
      <c r="U211" t="s">
        <v>24</v>
      </c>
      <c r="V211" t="s">
        <v>24</v>
      </c>
    </row>
    <row r="212" spans="1:22">
      <c r="A212" t="s">
        <v>248</v>
      </c>
      <c r="B212" s="21">
        <v>74</v>
      </c>
      <c r="C212" s="21">
        <v>58088</v>
      </c>
      <c r="D212" s="21">
        <v>701</v>
      </c>
      <c r="E212" t="str">
        <f>VLOOKUP(Table13[[#This Row],[Credit_Score]],Table4[],2,TRUE)</f>
        <v>Medium Risk</v>
      </c>
      <c r="F212">
        <v>0.54599088956844199</v>
      </c>
      <c r="G212" t="str">
        <f>IF(Table13[[#This Row],[Credit_Utilization]]&lt;0.3,"Low Utilization",
IF(Table13[[#This Row],[Credit_Utilization]]&lt;0.7,"Moderate Utilization",
"High Utilization"))</f>
        <v>Moderate Utilization</v>
      </c>
      <c r="H212" s="21">
        <v>6</v>
      </c>
      <c r="I212" s="21">
        <v>0</v>
      </c>
      <c r="J212" s="21">
        <v>1217</v>
      </c>
      <c r="K212">
        <v>0.25594035315337998</v>
      </c>
      <c r="L212" t="str">
        <f>IF(Table13[[#This Row],[Debt_to_Income_Ratio]]&lt;0.3,"Low DTI", IF(Table13[[#This Row],[Debt_to_Income_Ratio]]&lt;0.5,"Moderate DTI", "High DTI"))</f>
        <v>Low DTI</v>
      </c>
      <c r="M212" t="s">
        <v>43</v>
      </c>
      <c r="N212" s="21">
        <v>1</v>
      </c>
      <c r="O212" t="s">
        <v>21</v>
      </c>
      <c r="P212" t="s">
        <v>22</v>
      </c>
      <c r="Q212" t="s">
        <v>23</v>
      </c>
      <c r="R212" t="s">
        <v>29</v>
      </c>
      <c r="S212" t="s">
        <v>24</v>
      </c>
      <c r="T212" t="s">
        <v>24</v>
      </c>
      <c r="U212" t="s">
        <v>29</v>
      </c>
      <c r="V212" t="s">
        <v>29</v>
      </c>
    </row>
    <row r="213" spans="1:22">
      <c r="A213" t="s">
        <v>249</v>
      </c>
      <c r="B213" s="21">
        <v>69</v>
      </c>
      <c r="C213" s="21">
        <v>149415</v>
      </c>
      <c r="D213" s="21">
        <v>618</v>
      </c>
      <c r="E213" t="str">
        <f>VLOOKUP(Table13[[#This Row],[Credit_Score]],Table4[],2,TRUE)</f>
        <v>Medium Risk</v>
      </c>
      <c r="F213">
        <v>0.31833957380683803</v>
      </c>
      <c r="G213" t="str">
        <f>IF(Table13[[#This Row],[Credit_Utilization]]&lt;0.3,"Low Utilization",
IF(Table13[[#This Row],[Credit_Utilization]]&lt;0.7,"Moderate Utilization",
"High Utilization"))</f>
        <v>Moderate Utilization</v>
      </c>
      <c r="H213" s="21">
        <v>3</v>
      </c>
      <c r="I213" s="21">
        <v>0</v>
      </c>
      <c r="J213" s="21">
        <v>83604</v>
      </c>
      <c r="K213">
        <v>0.40406186060097499</v>
      </c>
      <c r="L213" t="str">
        <f>IF(Table13[[#This Row],[Debt_to_Income_Ratio]]&lt;0.3,"Low DTI", IF(Table13[[#This Row],[Debt_to_Income_Ratio]]&lt;0.5,"Moderate DTI", "High DTI"))</f>
        <v>Moderate DTI</v>
      </c>
      <c r="M213" t="s">
        <v>50</v>
      </c>
      <c r="N213" s="21">
        <v>16</v>
      </c>
      <c r="O213" t="s">
        <v>27</v>
      </c>
      <c r="P213" t="s">
        <v>32</v>
      </c>
      <c r="Q213" t="s">
        <v>23</v>
      </c>
      <c r="R213" t="s">
        <v>23</v>
      </c>
      <c r="S213" t="s">
        <v>24</v>
      </c>
      <c r="T213" t="s">
        <v>29</v>
      </c>
      <c r="U213" t="s">
        <v>29</v>
      </c>
      <c r="V213" t="s">
        <v>24</v>
      </c>
    </row>
    <row r="214" spans="1:22">
      <c r="A214" t="s">
        <v>250</v>
      </c>
      <c r="B214" s="21">
        <v>30</v>
      </c>
      <c r="C214" s="21">
        <v>84836</v>
      </c>
      <c r="D214" s="21">
        <v>776</v>
      </c>
      <c r="E214" t="str">
        <f>VLOOKUP(Table13[[#This Row],[Credit_Score]],Table4[],2,TRUE)</f>
        <v>Low Risk</v>
      </c>
      <c r="F214">
        <v>0.45229331063146599</v>
      </c>
      <c r="G214" t="str">
        <f>IF(Table13[[#This Row],[Credit_Utilization]]&lt;0.3,"Low Utilization",
IF(Table13[[#This Row],[Credit_Utilization]]&lt;0.7,"Moderate Utilization",
"High Utilization"))</f>
        <v>Moderate Utilization</v>
      </c>
      <c r="H214" s="21">
        <v>1</v>
      </c>
      <c r="I214" s="21">
        <v>0</v>
      </c>
      <c r="J214" s="21">
        <v>82909</v>
      </c>
      <c r="K214">
        <v>0.31329186417502702</v>
      </c>
      <c r="L214" t="str">
        <f>IF(Table13[[#This Row],[Debt_to_Income_Ratio]]&lt;0.3,"Low DTI", IF(Table13[[#This Row],[Debt_to_Income_Ratio]]&lt;0.5,"Moderate DTI", "High DTI"))</f>
        <v>Moderate DTI</v>
      </c>
      <c r="M214" t="s">
        <v>26</v>
      </c>
      <c r="N214" s="21">
        <v>4</v>
      </c>
      <c r="O214" t="s">
        <v>31</v>
      </c>
      <c r="P214" t="s">
        <v>28</v>
      </c>
      <c r="Q214" t="s">
        <v>23</v>
      </c>
      <c r="R214" t="s">
        <v>29</v>
      </c>
      <c r="S214" t="s">
        <v>23</v>
      </c>
      <c r="T214" t="s">
        <v>29</v>
      </c>
      <c r="U214" t="s">
        <v>24</v>
      </c>
      <c r="V214" t="s">
        <v>29</v>
      </c>
    </row>
    <row r="215" spans="1:22">
      <c r="A215" t="s">
        <v>251</v>
      </c>
      <c r="B215" s="21">
        <v>58</v>
      </c>
      <c r="C215" s="21">
        <v>97986</v>
      </c>
      <c r="D215" s="21">
        <v>792</v>
      </c>
      <c r="E215" t="str">
        <f>VLOOKUP(Table13[[#This Row],[Credit_Score]],Table4[],2,TRUE)</f>
        <v>Low Risk</v>
      </c>
      <c r="F215">
        <v>0.34419723139326103</v>
      </c>
      <c r="G215" t="str">
        <f>IF(Table13[[#This Row],[Credit_Utilization]]&lt;0.3,"Low Utilization",
IF(Table13[[#This Row],[Credit_Utilization]]&lt;0.7,"Moderate Utilization",
"High Utilization"))</f>
        <v>Moderate Utilization</v>
      </c>
      <c r="H215" s="21">
        <v>4</v>
      </c>
      <c r="I215" s="21">
        <v>0</v>
      </c>
      <c r="J215" s="21">
        <v>13761</v>
      </c>
      <c r="K215">
        <v>0.383547922182289</v>
      </c>
      <c r="L215" t="str">
        <f>IF(Table13[[#This Row],[Debt_to_Income_Ratio]]&lt;0.3,"Low DTI", IF(Table13[[#This Row],[Debt_to_Income_Ratio]]&lt;0.5,"Moderate DTI", "High DTI"))</f>
        <v>Moderate DTI</v>
      </c>
      <c r="M215" t="s">
        <v>34</v>
      </c>
      <c r="N215" s="21">
        <v>13</v>
      </c>
      <c r="O215" t="s">
        <v>37</v>
      </c>
      <c r="P215" t="s">
        <v>22</v>
      </c>
      <c r="Q215" t="s">
        <v>24</v>
      </c>
      <c r="R215" t="s">
        <v>23</v>
      </c>
      <c r="S215" t="s">
        <v>29</v>
      </c>
      <c r="T215" t="s">
        <v>29</v>
      </c>
      <c r="U215" t="s">
        <v>23</v>
      </c>
      <c r="V215" t="s">
        <v>24</v>
      </c>
    </row>
    <row r="216" spans="1:22">
      <c r="A216" t="s">
        <v>252</v>
      </c>
      <c r="B216" s="21">
        <v>20</v>
      </c>
      <c r="C216" s="21">
        <v>166836</v>
      </c>
      <c r="D216" s="21">
        <v>600</v>
      </c>
      <c r="E216" t="str">
        <f>VLOOKUP(Table13[[#This Row],[Credit_Score]],Table4[],2,TRUE)</f>
        <v>Medium Risk</v>
      </c>
      <c r="F216">
        <v>6.6870954319175197E-2</v>
      </c>
      <c r="G216" t="str">
        <f>IF(Table13[[#This Row],[Credit_Utilization]]&lt;0.3,"Low Utilization",
IF(Table13[[#This Row],[Credit_Utilization]]&lt;0.7,"Moderate Utilization",
"High Utilization"))</f>
        <v>Low Utilization</v>
      </c>
      <c r="H216" s="21">
        <v>2</v>
      </c>
      <c r="I216" s="21">
        <v>0</v>
      </c>
      <c r="J216" s="21">
        <v>47695</v>
      </c>
      <c r="K216">
        <v>0.269821861295024</v>
      </c>
      <c r="L216" t="str">
        <f>IF(Table13[[#This Row],[Debt_to_Income_Ratio]]&lt;0.3,"Low DTI", IF(Table13[[#This Row],[Debt_to_Income_Ratio]]&lt;0.5,"Moderate DTI", "High DTI"))</f>
        <v>Low DTI</v>
      </c>
      <c r="M216" t="s">
        <v>34</v>
      </c>
      <c r="N216" s="21">
        <v>19</v>
      </c>
      <c r="O216" t="s">
        <v>37</v>
      </c>
      <c r="P216" t="s">
        <v>22</v>
      </c>
      <c r="Q216" t="s">
        <v>29</v>
      </c>
      <c r="R216" t="s">
        <v>24</v>
      </c>
      <c r="S216" t="s">
        <v>23</v>
      </c>
      <c r="T216" t="s">
        <v>29</v>
      </c>
      <c r="U216" t="s">
        <v>29</v>
      </c>
      <c r="V216" t="s">
        <v>29</v>
      </c>
    </row>
    <row r="217" spans="1:22">
      <c r="A217" t="s">
        <v>253</v>
      </c>
      <c r="B217" s="21">
        <v>56</v>
      </c>
      <c r="C217" s="21">
        <v>191517</v>
      </c>
      <c r="D217" s="21">
        <v>781</v>
      </c>
      <c r="E217" t="str">
        <f>VLOOKUP(Table13[[#This Row],[Credit_Score]],Table4[],2,TRUE)</f>
        <v>Low Risk</v>
      </c>
      <c r="F217">
        <v>0.694852444425761</v>
      </c>
      <c r="G217" t="str">
        <f>IF(Table13[[#This Row],[Credit_Utilization]]&lt;0.3,"Low Utilization",
IF(Table13[[#This Row],[Credit_Utilization]]&lt;0.7,"Moderate Utilization",
"High Utilization"))</f>
        <v>Moderate Utilization</v>
      </c>
      <c r="H217" s="21">
        <v>6</v>
      </c>
      <c r="I217" s="21">
        <v>0</v>
      </c>
      <c r="J217" s="21">
        <v>11564</v>
      </c>
      <c r="K217">
        <v>0.27342861623885401</v>
      </c>
      <c r="L217" t="str">
        <f>IF(Table13[[#This Row],[Debt_to_Income_Ratio]]&lt;0.3,"Low DTI", IF(Table13[[#This Row],[Debt_to_Income_Ratio]]&lt;0.5,"Moderate DTI", "High DTI"))</f>
        <v>Low DTI</v>
      </c>
      <c r="M217" t="s">
        <v>26</v>
      </c>
      <c r="N217" s="21">
        <v>2</v>
      </c>
      <c r="O217" t="s">
        <v>37</v>
      </c>
      <c r="P217" t="s">
        <v>53</v>
      </c>
      <c r="Q217" t="s">
        <v>23</v>
      </c>
      <c r="R217" t="s">
        <v>29</v>
      </c>
      <c r="S217" t="s">
        <v>29</v>
      </c>
      <c r="T217" t="s">
        <v>29</v>
      </c>
      <c r="U217" t="s">
        <v>23</v>
      </c>
      <c r="V217" t="s">
        <v>24</v>
      </c>
    </row>
    <row r="218" spans="1:22">
      <c r="A218" t="s">
        <v>254</v>
      </c>
      <c r="B218" s="21">
        <v>23</v>
      </c>
      <c r="C218" s="21">
        <v>38289</v>
      </c>
      <c r="D218" s="21">
        <v>682</v>
      </c>
      <c r="E218" t="str">
        <f>VLOOKUP(Table13[[#This Row],[Credit_Score]],Table4[],2,TRUE)</f>
        <v>Medium Risk</v>
      </c>
      <c r="F218">
        <v>0.39770988888995301</v>
      </c>
      <c r="G218" t="str">
        <f>IF(Table13[[#This Row],[Credit_Utilization]]&lt;0.3,"Low Utilization",
IF(Table13[[#This Row],[Credit_Utilization]]&lt;0.7,"Moderate Utilization",
"High Utilization"))</f>
        <v>Moderate Utilization</v>
      </c>
      <c r="H218" s="21">
        <v>3</v>
      </c>
      <c r="I218" s="21">
        <v>0</v>
      </c>
      <c r="J218" s="21">
        <v>43870</v>
      </c>
      <c r="K218">
        <v>0.449425124625633</v>
      </c>
      <c r="L218" t="str">
        <f>IF(Table13[[#This Row],[Debt_to_Income_Ratio]]&lt;0.3,"Low DTI", IF(Table13[[#This Row],[Debt_to_Income_Ratio]]&lt;0.5,"Moderate DTI", "High DTI"))</f>
        <v>Moderate DTI</v>
      </c>
      <c r="M218" t="s">
        <v>43</v>
      </c>
      <c r="N218" s="21">
        <v>4</v>
      </c>
      <c r="O218" t="s">
        <v>21</v>
      </c>
      <c r="P218" t="s">
        <v>22</v>
      </c>
      <c r="Q218" t="s">
        <v>29</v>
      </c>
      <c r="R218" t="s">
        <v>24</v>
      </c>
      <c r="S218" t="s">
        <v>29</v>
      </c>
      <c r="T218" t="s">
        <v>24</v>
      </c>
      <c r="U218" t="s">
        <v>24</v>
      </c>
      <c r="V218" t="s">
        <v>24</v>
      </c>
    </row>
    <row r="219" spans="1:22">
      <c r="A219" t="s">
        <v>255</v>
      </c>
      <c r="B219" s="21">
        <v>25</v>
      </c>
      <c r="C219" s="21">
        <v>115497</v>
      </c>
      <c r="D219" s="21">
        <v>617</v>
      </c>
      <c r="E219" t="str">
        <f>VLOOKUP(Table13[[#This Row],[Credit_Score]],Table4[],2,TRUE)</f>
        <v>Medium Risk</v>
      </c>
      <c r="F219">
        <v>0.34791998513333799</v>
      </c>
      <c r="G219" t="str">
        <f>IF(Table13[[#This Row],[Credit_Utilization]]&lt;0.3,"Low Utilization",
IF(Table13[[#This Row],[Credit_Utilization]]&lt;0.7,"Moderate Utilization",
"High Utilization"))</f>
        <v>Moderate Utilization</v>
      </c>
      <c r="H219" s="21">
        <v>3</v>
      </c>
      <c r="I219" s="21">
        <v>0</v>
      </c>
      <c r="J219" s="21">
        <v>92149</v>
      </c>
      <c r="K219">
        <v>0.34363351884155002</v>
      </c>
      <c r="L219" t="str">
        <f>IF(Table13[[#This Row],[Debt_to_Income_Ratio]]&lt;0.3,"Low DTI", IF(Table13[[#This Row],[Debt_to_Income_Ratio]]&lt;0.5,"Moderate DTI", "High DTI"))</f>
        <v>Moderate DTI</v>
      </c>
      <c r="M219" t="s">
        <v>50</v>
      </c>
      <c r="N219" s="21">
        <v>15</v>
      </c>
      <c r="O219" t="s">
        <v>27</v>
      </c>
      <c r="P219" t="s">
        <v>32</v>
      </c>
      <c r="Q219" t="s">
        <v>29</v>
      </c>
      <c r="R219" t="s">
        <v>23</v>
      </c>
      <c r="S219" t="s">
        <v>23</v>
      </c>
      <c r="T219" t="s">
        <v>29</v>
      </c>
      <c r="U219" t="s">
        <v>24</v>
      </c>
      <c r="V219" t="s">
        <v>24</v>
      </c>
    </row>
    <row r="220" spans="1:22">
      <c r="A220" t="s">
        <v>256</v>
      </c>
      <c r="B220" s="21">
        <v>44</v>
      </c>
      <c r="C220" s="21">
        <v>72108</v>
      </c>
      <c r="D220" s="21">
        <v>339</v>
      </c>
      <c r="E220" t="str">
        <f>VLOOKUP(Table13[[#This Row],[Credit_Score]],Table4[],2,TRUE)</f>
        <v>High Risk</v>
      </c>
      <c r="F220">
        <v>0.54211400679169297</v>
      </c>
      <c r="G220" t="str">
        <f>IF(Table13[[#This Row],[Credit_Utilization]]&lt;0.3,"Low Utilization",
IF(Table13[[#This Row],[Credit_Utilization]]&lt;0.7,"Moderate Utilization",
"High Utilization"))</f>
        <v>Moderate Utilization</v>
      </c>
      <c r="H220" s="21">
        <v>0</v>
      </c>
      <c r="I220" s="21">
        <v>0</v>
      </c>
      <c r="J220" s="21">
        <v>23748</v>
      </c>
      <c r="K220">
        <v>0.22854854675942601</v>
      </c>
      <c r="L220" t="str">
        <f>IF(Table13[[#This Row],[Debt_to_Income_Ratio]]&lt;0.3,"Low DTI", IF(Table13[[#This Row],[Debt_to_Income_Ratio]]&lt;0.5,"Moderate DTI", "High DTI"))</f>
        <v>Low DTI</v>
      </c>
      <c r="M220" t="s">
        <v>43</v>
      </c>
      <c r="N220" s="21">
        <v>17</v>
      </c>
      <c r="O220" t="s">
        <v>45</v>
      </c>
      <c r="P220" t="s">
        <v>32</v>
      </c>
      <c r="Q220" t="s">
        <v>29</v>
      </c>
      <c r="R220" t="s">
        <v>29</v>
      </c>
      <c r="S220" t="s">
        <v>23</v>
      </c>
      <c r="T220" t="s">
        <v>24</v>
      </c>
      <c r="U220" t="s">
        <v>29</v>
      </c>
      <c r="V220" t="s">
        <v>24</v>
      </c>
    </row>
    <row r="221" spans="1:22">
      <c r="A221" t="s">
        <v>257</v>
      </c>
      <c r="B221" s="21">
        <v>26</v>
      </c>
      <c r="C221" s="21">
        <v>54298</v>
      </c>
      <c r="D221" s="21">
        <v>836</v>
      </c>
      <c r="E221" t="str">
        <f>VLOOKUP(Table13[[#This Row],[Credit_Score]],Table4[],2,TRUE)</f>
        <v>Low Risk</v>
      </c>
      <c r="F221">
        <v>0.60249991044430296</v>
      </c>
      <c r="G221" t="str">
        <f>IF(Table13[[#This Row],[Credit_Utilization]]&lt;0.3,"Low Utilization",
IF(Table13[[#This Row],[Credit_Utilization]]&lt;0.7,"Moderate Utilization",
"High Utilization"))</f>
        <v>Moderate Utilization</v>
      </c>
      <c r="H221" s="21">
        <v>0</v>
      </c>
      <c r="I221" s="21">
        <v>0</v>
      </c>
      <c r="J221" s="21">
        <v>15424</v>
      </c>
      <c r="K221">
        <v>0.38969744386204702</v>
      </c>
      <c r="L221" t="str">
        <f>IF(Table13[[#This Row],[Debt_to_Income_Ratio]]&lt;0.3,"Low DTI", IF(Table13[[#This Row],[Debt_to_Income_Ratio]]&lt;0.5,"Moderate DTI", "High DTI"))</f>
        <v>Moderate DTI</v>
      </c>
      <c r="M221" t="s">
        <v>26</v>
      </c>
      <c r="N221" s="21">
        <v>16</v>
      </c>
      <c r="O221" t="s">
        <v>27</v>
      </c>
      <c r="P221" t="s">
        <v>28</v>
      </c>
      <c r="Q221" t="s">
        <v>29</v>
      </c>
      <c r="R221" t="s">
        <v>24</v>
      </c>
      <c r="S221" t="s">
        <v>23</v>
      </c>
      <c r="T221" t="s">
        <v>24</v>
      </c>
      <c r="U221" t="s">
        <v>24</v>
      </c>
      <c r="V221" t="s">
        <v>24</v>
      </c>
    </row>
    <row r="222" spans="1:22">
      <c r="A222" t="s">
        <v>258</v>
      </c>
      <c r="B222" s="21">
        <v>54</v>
      </c>
      <c r="C222" s="21">
        <v>187312</v>
      </c>
      <c r="D222" s="21">
        <v>825</v>
      </c>
      <c r="E222" t="str">
        <f>VLOOKUP(Table13[[#This Row],[Credit_Score]],Table4[],2,TRUE)</f>
        <v>Low Risk</v>
      </c>
      <c r="F222">
        <v>0.43584503341874398</v>
      </c>
      <c r="G222" t="str">
        <f>IF(Table13[[#This Row],[Credit_Utilization]]&lt;0.3,"Low Utilization",
IF(Table13[[#This Row],[Credit_Utilization]]&lt;0.7,"Moderate Utilization",
"High Utilization"))</f>
        <v>Moderate Utilization</v>
      </c>
      <c r="H222" s="21">
        <v>3</v>
      </c>
      <c r="I222" s="21">
        <v>0</v>
      </c>
      <c r="J222" s="21">
        <v>21613</v>
      </c>
      <c r="K222">
        <v>0.24666952665721201</v>
      </c>
      <c r="L222" t="str">
        <f>IF(Table13[[#This Row],[Debt_to_Income_Ratio]]&lt;0.3,"Low DTI", IF(Table13[[#This Row],[Debt_to_Income_Ratio]]&lt;0.5,"Moderate DTI", "High DTI"))</f>
        <v>Low DTI</v>
      </c>
      <c r="M222" t="s">
        <v>43</v>
      </c>
      <c r="N222" s="21">
        <v>10</v>
      </c>
      <c r="O222" t="s">
        <v>21</v>
      </c>
      <c r="P222" t="s">
        <v>28</v>
      </c>
      <c r="Q222" t="s">
        <v>23</v>
      </c>
      <c r="R222" t="s">
        <v>24</v>
      </c>
      <c r="S222" t="s">
        <v>29</v>
      </c>
      <c r="T222" t="s">
        <v>23</v>
      </c>
      <c r="U222" t="s">
        <v>24</v>
      </c>
      <c r="V222" t="s">
        <v>23</v>
      </c>
    </row>
    <row r="223" spans="1:22">
      <c r="A223" t="s">
        <v>259</v>
      </c>
      <c r="B223" s="21">
        <v>50</v>
      </c>
      <c r="C223" s="21">
        <v>146456</v>
      </c>
      <c r="D223" s="21">
        <v>768</v>
      </c>
      <c r="E223" t="str">
        <f>VLOOKUP(Table13[[#This Row],[Credit_Score]],Table4[],2,TRUE)</f>
        <v>Low Risk</v>
      </c>
      <c r="F223">
        <v>0.49947966647819603</v>
      </c>
      <c r="G223" t="str">
        <f>IF(Table13[[#This Row],[Credit_Utilization]]&lt;0.3,"Low Utilization",
IF(Table13[[#This Row],[Credit_Utilization]]&lt;0.7,"Moderate Utilization",
"High Utilization"))</f>
        <v>Moderate Utilization</v>
      </c>
      <c r="H223" s="21">
        <v>1</v>
      </c>
      <c r="I223" s="21">
        <v>1</v>
      </c>
      <c r="J223" s="21">
        <v>41743</v>
      </c>
      <c r="K223">
        <v>0.32256981378115201</v>
      </c>
      <c r="L223" t="str">
        <f>IF(Table13[[#This Row],[Debt_to_Income_Ratio]]&lt;0.3,"Low DTI", IF(Table13[[#This Row],[Debt_to_Income_Ratio]]&lt;0.5,"Moderate DTI", "High DTI"))</f>
        <v>Moderate DTI</v>
      </c>
      <c r="M223" t="s">
        <v>43</v>
      </c>
      <c r="N223" s="21">
        <v>16</v>
      </c>
      <c r="O223" t="s">
        <v>37</v>
      </c>
      <c r="P223" t="s">
        <v>22</v>
      </c>
      <c r="Q223" t="s">
        <v>23</v>
      </c>
      <c r="R223" t="s">
        <v>23</v>
      </c>
      <c r="S223" t="s">
        <v>24</v>
      </c>
      <c r="T223" t="s">
        <v>24</v>
      </c>
      <c r="U223" t="s">
        <v>29</v>
      </c>
      <c r="V223" t="s">
        <v>23</v>
      </c>
    </row>
    <row r="224" spans="1:22">
      <c r="A224" t="s">
        <v>260</v>
      </c>
      <c r="B224" s="21">
        <v>68</v>
      </c>
      <c r="C224" s="21">
        <v>52131</v>
      </c>
      <c r="D224" s="21">
        <v>565</v>
      </c>
      <c r="E224" t="str">
        <f>VLOOKUP(Table13[[#This Row],[Credit_Score]],Table4[],2,TRUE)</f>
        <v>High Risk</v>
      </c>
      <c r="F224">
        <v>0.64923748146287996</v>
      </c>
      <c r="G224" t="str">
        <f>IF(Table13[[#This Row],[Credit_Utilization]]&lt;0.3,"Low Utilization",
IF(Table13[[#This Row],[Credit_Utilization]]&lt;0.7,"Moderate Utilization",
"High Utilization"))</f>
        <v>Moderate Utilization</v>
      </c>
      <c r="H224" s="21">
        <v>2</v>
      </c>
      <c r="I224" s="21">
        <v>0</v>
      </c>
      <c r="J224" s="21">
        <v>24851</v>
      </c>
      <c r="K224">
        <v>0.48366746308594</v>
      </c>
      <c r="L224" t="str">
        <f>IF(Table13[[#This Row],[Debt_to_Income_Ratio]]&lt;0.3,"Low DTI", IF(Table13[[#This Row],[Debt_to_Income_Ratio]]&lt;0.5,"Moderate DTI", "High DTI"))</f>
        <v>Moderate DTI</v>
      </c>
      <c r="M224" t="s">
        <v>34</v>
      </c>
      <c r="N224" s="21">
        <v>15</v>
      </c>
      <c r="O224" t="s">
        <v>31</v>
      </c>
      <c r="P224" t="s">
        <v>38</v>
      </c>
      <c r="Q224" t="s">
        <v>24</v>
      </c>
      <c r="R224" t="s">
        <v>29</v>
      </c>
      <c r="S224" t="s">
        <v>23</v>
      </c>
      <c r="T224" t="s">
        <v>29</v>
      </c>
      <c r="U224" t="s">
        <v>23</v>
      </c>
      <c r="V224" t="s">
        <v>23</v>
      </c>
    </row>
    <row r="225" spans="1:22">
      <c r="A225" t="s">
        <v>261</v>
      </c>
      <c r="B225" s="21">
        <v>59</v>
      </c>
      <c r="C225" s="21">
        <v>88963</v>
      </c>
      <c r="D225" s="21">
        <v>572</v>
      </c>
      <c r="E225" t="str">
        <f>VLOOKUP(Table13[[#This Row],[Credit_Score]],Table4[],2,TRUE)</f>
        <v>High Risk</v>
      </c>
      <c r="F225">
        <v>0.42796128107801001</v>
      </c>
      <c r="G225" t="str">
        <f>IF(Table13[[#This Row],[Credit_Utilization]]&lt;0.3,"Low Utilization",
IF(Table13[[#This Row],[Credit_Utilization]]&lt;0.7,"Moderate Utilization",
"High Utilization"))</f>
        <v>Moderate Utilization</v>
      </c>
      <c r="H225" s="21">
        <v>6</v>
      </c>
      <c r="I225" s="21">
        <v>0</v>
      </c>
      <c r="J225" s="21">
        <v>41958</v>
      </c>
      <c r="K225">
        <v>0.15687176123619401</v>
      </c>
      <c r="L225" t="str">
        <f>IF(Table13[[#This Row],[Debt_to_Income_Ratio]]&lt;0.3,"Low DTI", IF(Table13[[#This Row],[Debt_to_Income_Ratio]]&lt;0.5,"Moderate DTI", "High DTI"))</f>
        <v>Low DTI</v>
      </c>
      <c r="M225" t="s">
        <v>26</v>
      </c>
      <c r="N225" s="21">
        <v>1</v>
      </c>
      <c r="O225" t="s">
        <v>37</v>
      </c>
      <c r="P225" t="s">
        <v>53</v>
      </c>
      <c r="Q225" t="s">
        <v>29</v>
      </c>
      <c r="R225" t="s">
        <v>24</v>
      </c>
      <c r="S225" t="s">
        <v>29</v>
      </c>
      <c r="T225" t="s">
        <v>23</v>
      </c>
      <c r="U225" t="s">
        <v>24</v>
      </c>
      <c r="V225" t="s">
        <v>29</v>
      </c>
    </row>
    <row r="226" spans="1:22">
      <c r="A226" t="s">
        <v>262</v>
      </c>
      <c r="B226" s="21">
        <v>61</v>
      </c>
      <c r="C226" s="21">
        <v>107658</v>
      </c>
      <c r="D226" s="21">
        <v>535</v>
      </c>
      <c r="E226" t="str">
        <f>VLOOKUP(Table13[[#This Row],[Credit_Score]],Table4[],2,TRUE)</f>
        <v>High Risk</v>
      </c>
      <c r="F226">
        <v>0.56046674835266597</v>
      </c>
      <c r="G226" t="str">
        <f>IF(Table13[[#This Row],[Credit_Utilization]]&lt;0.3,"Low Utilization",
IF(Table13[[#This Row],[Credit_Utilization]]&lt;0.7,"Moderate Utilization",
"High Utilization"))</f>
        <v>Moderate Utilization</v>
      </c>
      <c r="H226" s="21">
        <v>0</v>
      </c>
      <c r="I226" s="21">
        <v>0</v>
      </c>
      <c r="J226" s="21">
        <v>98062</v>
      </c>
      <c r="K226">
        <v>0.28242180782334603</v>
      </c>
      <c r="L226" t="str">
        <f>IF(Table13[[#This Row],[Debt_to_Income_Ratio]]&lt;0.3,"Low DTI", IF(Table13[[#This Row],[Debt_to_Income_Ratio]]&lt;0.5,"Moderate DTI", "High DTI"))</f>
        <v>Low DTI</v>
      </c>
      <c r="M226" t="s">
        <v>34</v>
      </c>
      <c r="N226" s="21">
        <v>3</v>
      </c>
      <c r="O226" t="s">
        <v>45</v>
      </c>
      <c r="P226" t="s">
        <v>38</v>
      </c>
      <c r="Q226" t="s">
        <v>23</v>
      </c>
      <c r="R226" t="s">
        <v>29</v>
      </c>
      <c r="S226" t="s">
        <v>29</v>
      </c>
      <c r="T226" t="s">
        <v>23</v>
      </c>
      <c r="U226" t="s">
        <v>23</v>
      </c>
      <c r="V226" t="s">
        <v>24</v>
      </c>
    </row>
    <row r="227" spans="1:22">
      <c r="A227" t="s">
        <v>263</v>
      </c>
      <c r="B227" s="21">
        <v>41</v>
      </c>
      <c r="C227" s="21">
        <v>180983</v>
      </c>
      <c r="D227" s="21">
        <v>776</v>
      </c>
      <c r="E227" t="str">
        <f>VLOOKUP(Table13[[#This Row],[Credit_Score]],Table4[],2,TRUE)</f>
        <v>Low Risk</v>
      </c>
      <c r="F227">
        <v>0.168151076322169</v>
      </c>
      <c r="G227" t="str">
        <f>IF(Table13[[#This Row],[Credit_Utilization]]&lt;0.3,"Low Utilization",
IF(Table13[[#This Row],[Credit_Utilization]]&lt;0.7,"Moderate Utilization",
"High Utilization"))</f>
        <v>Low Utilization</v>
      </c>
      <c r="H227" s="21">
        <v>6</v>
      </c>
      <c r="I227" s="21">
        <v>0</v>
      </c>
      <c r="J227" s="21">
        <v>14756</v>
      </c>
      <c r="K227">
        <v>0.34082716409020303</v>
      </c>
      <c r="L227" t="str">
        <f>IF(Table13[[#This Row],[Debt_to_Income_Ratio]]&lt;0.3,"Low DTI", IF(Table13[[#This Row],[Debt_to_Income_Ratio]]&lt;0.5,"Moderate DTI", "High DTI"))</f>
        <v>Moderate DTI</v>
      </c>
      <c r="M227" t="s">
        <v>43</v>
      </c>
      <c r="N227" s="21">
        <v>6</v>
      </c>
      <c r="O227" t="s">
        <v>31</v>
      </c>
      <c r="P227" t="s">
        <v>22</v>
      </c>
      <c r="Q227" t="s">
        <v>24</v>
      </c>
      <c r="R227" t="s">
        <v>29</v>
      </c>
      <c r="S227" t="s">
        <v>29</v>
      </c>
      <c r="T227" t="s">
        <v>23</v>
      </c>
      <c r="U227" t="s">
        <v>23</v>
      </c>
      <c r="V227" t="s">
        <v>23</v>
      </c>
    </row>
    <row r="228" spans="1:22">
      <c r="A228" t="s">
        <v>264</v>
      </c>
      <c r="B228" s="21">
        <v>32</v>
      </c>
      <c r="C228" s="21">
        <v>20569</v>
      </c>
      <c r="D228" s="21">
        <v>823</v>
      </c>
      <c r="E228" t="str">
        <f>VLOOKUP(Table13[[#This Row],[Credit_Score]],Table4[],2,TRUE)</f>
        <v>Low Risk</v>
      </c>
      <c r="F228">
        <v>0.25173620031444999</v>
      </c>
      <c r="G228" t="str">
        <f>IF(Table13[[#This Row],[Credit_Utilization]]&lt;0.3,"Low Utilization",
IF(Table13[[#This Row],[Credit_Utilization]]&lt;0.7,"Moderate Utilization",
"High Utilization"))</f>
        <v>Low Utilization</v>
      </c>
      <c r="H228" s="21">
        <v>1</v>
      </c>
      <c r="I228" s="21">
        <v>0</v>
      </c>
      <c r="J228" s="21">
        <v>11061</v>
      </c>
      <c r="K228">
        <v>0.37646983346646701</v>
      </c>
      <c r="L228" t="str">
        <f>IF(Table13[[#This Row],[Debt_to_Income_Ratio]]&lt;0.3,"Low DTI", IF(Table13[[#This Row],[Debt_to_Income_Ratio]]&lt;0.5,"Moderate DTI", "High DTI"))</f>
        <v>Moderate DTI</v>
      </c>
      <c r="M228" t="s">
        <v>34</v>
      </c>
      <c r="N228" s="21">
        <v>1</v>
      </c>
      <c r="O228" t="s">
        <v>37</v>
      </c>
      <c r="P228" t="s">
        <v>22</v>
      </c>
      <c r="Q228" t="s">
        <v>23</v>
      </c>
      <c r="R228" t="s">
        <v>23</v>
      </c>
      <c r="S228" t="s">
        <v>24</v>
      </c>
      <c r="T228" t="s">
        <v>24</v>
      </c>
      <c r="U228" t="s">
        <v>29</v>
      </c>
      <c r="V228" t="s">
        <v>24</v>
      </c>
    </row>
    <row r="229" spans="1:22">
      <c r="A229" t="s">
        <v>265</v>
      </c>
      <c r="B229" s="21">
        <v>71</v>
      </c>
      <c r="C229" s="21">
        <v>150683</v>
      </c>
      <c r="D229" s="21">
        <v>820</v>
      </c>
      <c r="E229" t="str">
        <f>VLOOKUP(Table13[[#This Row],[Credit_Score]],Table4[],2,TRUE)</f>
        <v>Low Risk</v>
      </c>
      <c r="F229">
        <v>0.62110795561608001</v>
      </c>
      <c r="G229" t="str">
        <f>IF(Table13[[#This Row],[Credit_Utilization]]&lt;0.3,"Low Utilization",
IF(Table13[[#This Row],[Credit_Utilization]]&lt;0.7,"Moderate Utilization",
"High Utilization"))</f>
        <v>Moderate Utilization</v>
      </c>
      <c r="H229" s="21">
        <v>6</v>
      </c>
      <c r="I229" s="21">
        <v>0</v>
      </c>
      <c r="J229" s="21">
        <v>11308</v>
      </c>
      <c r="K229">
        <v>0.17587660926391199</v>
      </c>
      <c r="L229" t="str">
        <f>IF(Table13[[#This Row],[Debt_to_Income_Ratio]]&lt;0.3,"Low DTI", IF(Table13[[#This Row],[Debt_to_Income_Ratio]]&lt;0.5,"Moderate DTI", "High DTI"))</f>
        <v>Low DTI</v>
      </c>
      <c r="M229" t="s">
        <v>26</v>
      </c>
      <c r="N229" s="21">
        <v>5</v>
      </c>
      <c r="O229" t="s">
        <v>31</v>
      </c>
      <c r="P229" t="s">
        <v>38</v>
      </c>
      <c r="Q229" t="s">
        <v>24</v>
      </c>
      <c r="R229" t="s">
        <v>24</v>
      </c>
      <c r="S229" t="s">
        <v>24</v>
      </c>
      <c r="T229" t="s">
        <v>29</v>
      </c>
      <c r="U229" t="s">
        <v>24</v>
      </c>
      <c r="V229" t="s">
        <v>23</v>
      </c>
    </row>
    <row r="230" spans="1:22">
      <c r="A230" t="s">
        <v>266</v>
      </c>
      <c r="B230" s="21">
        <v>49</v>
      </c>
      <c r="C230" s="21">
        <v>107658</v>
      </c>
      <c r="D230" s="21">
        <v>753</v>
      </c>
      <c r="E230" t="str">
        <f>VLOOKUP(Table13[[#This Row],[Credit_Score]],Table4[],2,TRUE)</f>
        <v>Low Risk</v>
      </c>
      <c r="F230">
        <v>0.24128827216654</v>
      </c>
      <c r="G230" t="str">
        <f>IF(Table13[[#This Row],[Credit_Utilization]]&lt;0.3,"Low Utilization",
IF(Table13[[#This Row],[Credit_Utilization]]&lt;0.7,"Moderate Utilization",
"High Utilization"))</f>
        <v>Low Utilization</v>
      </c>
      <c r="H230" s="21">
        <v>4</v>
      </c>
      <c r="I230" s="21">
        <v>0</v>
      </c>
      <c r="J230" s="21">
        <v>62010</v>
      </c>
      <c r="K230">
        <v>0.146420973142498</v>
      </c>
      <c r="L230" t="str">
        <f>IF(Table13[[#This Row],[Debt_to_Income_Ratio]]&lt;0.3,"Low DTI", IF(Table13[[#This Row],[Debt_to_Income_Ratio]]&lt;0.5,"Moderate DTI", "High DTI"))</f>
        <v>Low DTI</v>
      </c>
      <c r="M230" t="s">
        <v>43</v>
      </c>
      <c r="N230" s="21">
        <v>16</v>
      </c>
      <c r="O230" t="s">
        <v>27</v>
      </c>
      <c r="P230" t="s">
        <v>53</v>
      </c>
      <c r="Q230" t="s">
        <v>23</v>
      </c>
      <c r="R230" t="s">
        <v>23</v>
      </c>
      <c r="S230" t="s">
        <v>29</v>
      </c>
      <c r="T230" t="s">
        <v>23</v>
      </c>
      <c r="U230" t="s">
        <v>24</v>
      </c>
      <c r="V230" t="s">
        <v>24</v>
      </c>
    </row>
    <row r="231" spans="1:22">
      <c r="A231" t="s">
        <v>267</v>
      </c>
      <c r="B231" s="21">
        <v>49</v>
      </c>
      <c r="C231" s="21">
        <v>191615</v>
      </c>
      <c r="D231" s="21">
        <v>659</v>
      </c>
      <c r="E231" t="str">
        <f>VLOOKUP(Table13[[#This Row],[Credit_Score]],Table4[],2,TRUE)</f>
        <v>Medium Risk</v>
      </c>
      <c r="F231">
        <v>0.54682750942265901</v>
      </c>
      <c r="G231" t="str">
        <f>IF(Table13[[#This Row],[Credit_Utilization]]&lt;0.3,"Low Utilization",
IF(Table13[[#This Row],[Credit_Utilization]]&lt;0.7,"Moderate Utilization",
"High Utilization"))</f>
        <v>Moderate Utilization</v>
      </c>
      <c r="H231" s="21">
        <v>0</v>
      </c>
      <c r="I231" s="21">
        <v>1</v>
      </c>
      <c r="J231" s="21">
        <v>73327</v>
      </c>
      <c r="K231">
        <v>0.40907493519904198</v>
      </c>
      <c r="L231" t="str">
        <f>IF(Table13[[#This Row],[Debt_to_Income_Ratio]]&lt;0.3,"Low DTI", IF(Table13[[#This Row],[Debt_to_Income_Ratio]]&lt;0.5,"Moderate DTI", "High DTI"))</f>
        <v>Moderate DTI</v>
      </c>
      <c r="M231" t="s">
        <v>43</v>
      </c>
      <c r="N231" s="21">
        <v>6</v>
      </c>
      <c r="O231" t="s">
        <v>21</v>
      </c>
      <c r="P231" t="s">
        <v>38</v>
      </c>
      <c r="Q231" t="s">
        <v>24</v>
      </c>
      <c r="R231" t="s">
        <v>24</v>
      </c>
      <c r="S231" t="s">
        <v>29</v>
      </c>
      <c r="T231" t="s">
        <v>23</v>
      </c>
      <c r="U231" t="s">
        <v>24</v>
      </c>
      <c r="V231" t="s">
        <v>29</v>
      </c>
    </row>
    <row r="232" spans="1:22">
      <c r="A232" t="s">
        <v>268</v>
      </c>
      <c r="B232" s="21">
        <v>41</v>
      </c>
      <c r="C232" s="21">
        <v>165580</v>
      </c>
      <c r="D232" s="21">
        <v>629</v>
      </c>
      <c r="E232" t="str">
        <f>VLOOKUP(Table13[[#This Row],[Credit_Score]],Table4[],2,TRUE)</f>
        <v>Medium Risk</v>
      </c>
      <c r="F232">
        <v>0.470600243560585</v>
      </c>
      <c r="G232" t="str">
        <f>IF(Table13[[#This Row],[Credit_Utilization]]&lt;0.3,"Low Utilization",
IF(Table13[[#This Row],[Credit_Utilization]]&lt;0.7,"Moderate Utilization",
"High Utilization"))</f>
        <v>Moderate Utilization</v>
      </c>
      <c r="H232" s="21">
        <v>1</v>
      </c>
      <c r="I232" s="21">
        <v>0</v>
      </c>
      <c r="J232" s="21">
        <v>96167</v>
      </c>
      <c r="K232">
        <v>0.227958514319616</v>
      </c>
      <c r="L232" t="str">
        <f>IF(Table13[[#This Row],[Debt_to_Income_Ratio]]&lt;0.3,"Low DTI", IF(Table13[[#This Row],[Debt_to_Income_Ratio]]&lt;0.5,"Moderate DTI", "High DTI"))</f>
        <v>Low DTI</v>
      </c>
      <c r="M232" t="s">
        <v>26</v>
      </c>
      <c r="N232" s="21">
        <v>4</v>
      </c>
      <c r="O232" t="s">
        <v>37</v>
      </c>
      <c r="P232" t="s">
        <v>28</v>
      </c>
      <c r="Q232" t="s">
        <v>23</v>
      </c>
      <c r="R232" t="s">
        <v>29</v>
      </c>
      <c r="S232" t="s">
        <v>24</v>
      </c>
      <c r="T232" t="s">
        <v>23</v>
      </c>
      <c r="U232" t="s">
        <v>23</v>
      </c>
      <c r="V232" t="s">
        <v>29</v>
      </c>
    </row>
    <row r="233" spans="1:22">
      <c r="A233" t="s">
        <v>269</v>
      </c>
      <c r="B233" s="21">
        <v>58</v>
      </c>
      <c r="C233" s="21">
        <v>70284</v>
      </c>
      <c r="D233" s="21">
        <v>696</v>
      </c>
      <c r="E233" t="str">
        <f>VLOOKUP(Table13[[#This Row],[Credit_Score]],Table4[],2,TRUE)</f>
        <v>Medium Risk</v>
      </c>
      <c r="F233">
        <v>0.427106547495954</v>
      </c>
      <c r="G233" t="str">
        <f>IF(Table13[[#This Row],[Credit_Utilization]]&lt;0.3,"Low Utilization",
IF(Table13[[#This Row],[Credit_Utilization]]&lt;0.7,"Moderate Utilization",
"High Utilization"))</f>
        <v>Moderate Utilization</v>
      </c>
      <c r="H233" s="21">
        <v>1</v>
      </c>
      <c r="I233" s="21">
        <v>1</v>
      </c>
      <c r="J233" s="21">
        <v>2882</v>
      </c>
      <c r="K233">
        <v>0.22377174920026799</v>
      </c>
      <c r="L233" t="str">
        <f>IF(Table13[[#This Row],[Debt_to_Income_Ratio]]&lt;0.3,"Low DTI", IF(Table13[[#This Row],[Debt_to_Income_Ratio]]&lt;0.5,"Moderate DTI", "High DTI"))</f>
        <v>Low DTI</v>
      </c>
      <c r="M233" t="s">
        <v>43</v>
      </c>
      <c r="N233" s="21">
        <v>4</v>
      </c>
      <c r="O233" t="s">
        <v>45</v>
      </c>
      <c r="P233" t="s">
        <v>32</v>
      </c>
      <c r="Q233" t="s">
        <v>29</v>
      </c>
      <c r="R233" t="s">
        <v>29</v>
      </c>
      <c r="S233" t="s">
        <v>23</v>
      </c>
      <c r="T233" t="s">
        <v>23</v>
      </c>
      <c r="U233" t="s">
        <v>29</v>
      </c>
      <c r="V233" t="s">
        <v>23</v>
      </c>
    </row>
    <row r="234" spans="1:22">
      <c r="A234" t="s">
        <v>270</v>
      </c>
      <c r="B234" s="21">
        <v>69</v>
      </c>
      <c r="C234" s="21">
        <v>127816</v>
      </c>
      <c r="D234" s="21">
        <v>781</v>
      </c>
      <c r="E234" t="str">
        <f>VLOOKUP(Table13[[#This Row],[Credit_Score]],Table4[],2,TRUE)</f>
        <v>Low Risk</v>
      </c>
      <c r="F234">
        <v>0.33430744620645397</v>
      </c>
      <c r="G234" t="str">
        <f>IF(Table13[[#This Row],[Credit_Utilization]]&lt;0.3,"Low Utilization",
IF(Table13[[#This Row],[Credit_Utilization]]&lt;0.7,"Moderate Utilization",
"High Utilization"))</f>
        <v>Moderate Utilization</v>
      </c>
      <c r="H234" s="21">
        <v>2</v>
      </c>
      <c r="I234" s="21">
        <v>0</v>
      </c>
      <c r="J234" s="21">
        <v>32588</v>
      </c>
      <c r="K234">
        <v>0.45502496727721597</v>
      </c>
      <c r="L234" t="str">
        <f>IF(Table13[[#This Row],[Debt_to_Income_Ratio]]&lt;0.3,"Low DTI", IF(Table13[[#This Row],[Debt_to_Income_Ratio]]&lt;0.5,"Moderate DTI", "High DTI"))</f>
        <v>Moderate DTI</v>
      </c>
      <c r="M234" t="s">
        <v>50</v>
      </c>
      <c r="N234" s="21">
        <v>19</v>
      </c>
      <c r="O234" t="s">
        <v>27</v>
      </c>
      <c r="P234" t="s">
        <v>28</v>
      </c>
      <c r="Q234" t="s">
        <v>23</v>
      </c>
      <c r="R234" t="s">
        <v>29</v>
      </c>
      <c r="S234" t="s">
        <v>23</v>
      </c>
      <c r="T234" t="s">
        <v>23</v>
      </c>
      <c r="U234" t="s">
        <v>24</v>
      </c>
      <c r="V234" t="s">
        <v>24</v>
      </c>
    </row>
    <row r="235" spans="1:22">
      <c r="A235" t="s">
        <v>271</v>
      </c>
      <c r="B235" s="21">
        <v>66</v>
      </c>
      <c r="C235" s="21">
        <v>85390</v>
      </c>
      <c r="D235" s="21">
        <v>617</v>
      </c>
      <c r="E235" t="str">
        <f>VLOOKUP(Table13[[#This Row],[Credit_Score]],Table4[],2,TRUE)</f>
        <v>Medium Risk</v>
      </c>
      <c r="F235">
        <v>0.68186800362107503</v>
      </c>
      <c r="G235" t="str">
        <f>IF(Table13[[#This Row],[Credit_Utilization]]&lt;0.3,"Low Utilization",
IF(Table13[[#This Row],[Credit_Utilization]]&lt;0.7,"Moderate Utilization",
"High Utilization"))</f>
        <v>Moderate Utilization</v>
      </c>
      <c r="H235" s="21">
        <v>2</v>
      </c>
      <c r="I235" s="21">
        <v>0</v>
      </c>
      <c r="J235" s="21">
        <v>11061</v>
      </c>
      <c r="K235">
        <v>0.30697023147318198</v>
      </c>
      <c r="L235" t="str">
        <f>IF(Table13[[#This Row],[Debt_to_Income_Ratio]]&lt;0.3,"Low DTI", IF(Table13[[#This Row],[Debt_to_Income_Ratio]]&lt;0.5,"Moderate DTI", "High DTI"))</f>
        <v>Moderate DTI</v>
      </c>
      <c r="M235" t="s">
        <v>26</v>
      </c>
      <c r="N235" s="21">
        <v>15</v>
      </c>
      <c r="O235" t="s">
        <v>37</v>
      </c>
      <c r="P235" t="s">
        <v>32</v>
      </c>
      <c r="Q235" t="s">
        <v>23</v>
      </c>
      <c r="R235" t="s">
        <v>29</v>
      </c>
      <c r="S235" t="s">
        <v>29</v>
      </c>
      <c r="T235" t="s">
        <v>24</v>
      </c>
      <c r="U235" t="s">
        <v>24</v>
      </c>
      <c r="V235" t="s">
        <v>24</v>
      </c>
    </row>
    <row r="236" spans="1:22">
      <c r="A236" t="s">
        <v>272</v>
      </c>
      <c r="B236" s="21">
        <v>66</v>
      </c>
      <c r="C236" s="21">
        <v>74101</v>
      </c>
      <c r="D236" s="21">
        <v>561</v>
      </c>
      <c r="E236" t="str">
        <f>VLOOKUP(Table13[[#This Row],[Credit_Score]],Table4[],2,TRUE)</f>
        <v>High Risk</v>
      </c>
      <c r="F236">
        <v>0.84597823090396695</v>
      </c>
      <c r="G236" t="str">
        <f>IF(Table13[[#This Row],[Credit_Utilization]]&lt;0.3,"Low Utilization",
IF(Table13[[#This Row],[Credit_Utilization]]&lt;0.7,"Moderate Utilization",
"High Utilization"))</f>
        <v>High Utilization</v>
      </c>
      <c r="H236" s="21">
        <v>4</v>
      </c>
      <c r="I236" s="21">
        <v>0</v>
      </c>
      <c r="J236" s="21">
        <v>42715</v>
      </c>
      <c r="K236">
        <v>0.30762382276815697</v>
      </c>
      <c r="L236" t="str">
        <f>IF(Table13[[#This Row],[Debt_to_Income_Ratio]]&lt;0.3,"Low DTI", IF(Table13[[#This Row],[Debt_to_Income_Ratio]]&lt;0.5,"Moderate DTI", "High DTI"))</f>
        <v>Moderate DTI</v>
      </c>
      <c r="M236" t="s">
        <v>43</v>
      </c>
      <c r="N236" s="21">
        <v>18</v>
      </c>
      <c r="O236" t="s">
        <v>27</v>
      </c>
      <c r="P236" t="s">
        <v>22</v>
      </c>
      <c r="Q236" t="s">
        <v>24</v>
      </c>
      <c r="R236" t="s">
        <v>23</v>
      </c>
      <c r="S236" t="s">
        <v>24</v>
      </c>
      <c r="T236" t="s">
        <v>24</v>
      </c>
      <c r="U236" t="s">
        <v>24</v>
      </c>
      <c r="V236" t="s">
        <v>24</v>
      </c>
    </row>
    <row r="237" spans="1:22">
      <c r="A237" t="s">
        <v>273</v>
      </c>
      <c r="B237" s="21">
        <v>69</v>
      </c>
      <c r="C237" s="21">
        <v>127816</v>
      </c>
      <c r="D237" s="21">
        <v>345</v>
      </c>
      <c r="E237" t="str">
        <f>VLOOKUP(Table13[[#This Row],[Credit_Score]],Table4[],2,TRUE)</f>
        <v>High Risk</v>
      </c>
      <c r="F237">
        <v>0.56003843252003804</v>
      </c>
      <c r="G237" t="str">
        <f>IF(Table13[[#This Row],[Credit_Utilization]]&lt;0.3,"Low Utilization",
IF(Table13[[#This Row],[Credit_Utilization]]&lt;0.7,"Moderate Utilization",
"High Utilization"))</f>
        <v>Moderate Utilization</v>
      </c>
      <c r="H237" s="21">
        <v>1</v>
      </c>
      <c r="I237" s="21">
        <v>0</v>
      </c>
      <c r="J237" s="21">
        <v>2926</v>
      </c>
      <c r="K237">
        <v>0.28202005548484599</v>
      </c>
      <c r="L237" t="str">
        <f>IF(Table13[[#This Row],[Debt_to_Income_Ratio]]&lt;0.3,"Low DTI", IF(Table13[[#This Row],[Debt_to_Income_Ratio]]&lt;0.5,"Moderate DTI", "High DTI"))</f>
        <v>Low DTI</v>
      </c>
      <c r="M237" t="s">
        <v>50</v>
      </c>
      <c r="N237" s="21">
        <v>8</v>
      </c>
      <c r="O237" t="s">
        <v>45</v>
      </c>
      <c r="P237" t="s">
        <v>53</v>
      </c>
      <c r="Q237" t="s">
        <v>23</v>
      </c>
      <c r="R237" t="s">
        <v>23</v>
      </c>
      <c r="S237" t="s">
        <v>29</v>
      </c>
      <c r="T237" t="s">
        <v>24</v>
      </c>
      <c r="U237" t="s">
        <v>23</v>
      </c>
      <c r="V237" t="s">
        <v>24</v>
      </c>
    </row>
    <row r="238" spans="1:22">
      <c r="A238" t="s">
        <v>274</v>
      </c>
      <c r="B238" s="21">
        <v>29</v>
      </c>
      <c r="C238" s="21">
        <v>178273</v>
      </c>
      <c r="D238" s="21">
        <v>363</v>
      </c>
      <c r="E238" t="str">
        <f>VLOOKUP(Table13[[#This Row],[Credit_Score]],Table4[],2,TRUE)</f>
        <v>High Risk</v>
      </c>
      <c r="F238">
        <v>0.56449814313456304</v>
      </c>
      <c r="G238" t="str">
        <f>IF(Table13[[#This Row],[Credit_Utilization]]&lt;0.3,"Low Utilization",
IF(Table13[[#This Row],[Credit_Utilization]]&lt;0.7,"Moderate Utilization",
"High Utilization"))</f>
        <v>Moderate Utilization</v>
      </c>
      <c r="H238" s="21">
        <v>5</v>
      </c>
      <c r="I238" s="21">
        <v>0</v>
      </c>
      <c r="J238" s="21">
        <v>98999</v>
      </c>
      <c r="K238">
        <v>0.17760179332568299</v>
      </c>
      <c r="L238" t="str">
        <f>IF(Table13[[#This Row],[Debt_to_Income_Ratio]]&lt;0.3,"Low DTI", IF(Table13[[#This Row],[Debt_to_Income_Ratio]]&lt;0.5,"Moderate DTI", "High DTI"))</f>
        <v>Low DTI</v>
      </c>
      <c r="M238" t="s">
        <v>26</v>
      </c>
      <c r="N238" s="21">
        <v>4</v>
      </c>
      <c r="O238" t="s">
        <v>37</v>
      </c>
      <c r="P238" t="s">
        <v>38</v>
      </c>
      <c r="Q238" t="s">
        <v>29</v>
      </c>
      <c r="R238" t="s">
        <v>24</v>
      </c>
      <c r="S238" t="s">
        <v>24</v>
      </c>
      <c r="T238" t="s">
        <v>29</v>
      </c>
      <c r="U238" t="s">
        <v>24</v>
      </c>
      <c r="V238" t="s">
        <v>24</v>
      </c>
    </row>
    <row r="239" spans="1:22">
      <c r="A239" t="s">
        <v>275</v>
      </c>
      <c r="B239" s="21">
        <v>56</v>
      </c>
      <c r="C239" s="21">
        <v>61540</v>
      </c>
      <c r="D239" s="21">
        <v>731</v>
      </c>
      <c r="E239" t="str">
        <f>VLOOKUP(Table13[[#This Row],[Credit_Score]],Table4[],2,TRUE)</f>
        <v>Medium Risk</v>
      </c>
      <c r="F239">
        <v>0.36353387402850101</v>
      </c>
      <c r="G239" t="str">
        <f>IF(Table13[[#This Row],[Credit_Utilization]]&lt;0.3,"Low Utilization",
IF(Table13[[#This Row],[Credit_Utilization]]&lt;0.7,"Moderate Utilization",
"High Utilization"))</f>
        <v>Moderate Utilization</v>
      </c>
      <c r="H239" s="21">
        <v>1</v>
      </c>
      <c r="I239" s="21">
        <v>1</v>
      </c>
      <c r="J239" s="21">
        <v>75777</v>
      </c>
      <c r="K239">
        <v>0.36756969493943797</v>
      </c>
      <c r="L239" t="str">
        <f>IF(Table13[[#This Row],[Debt_to_Income_Ratio]]&lt;0.3,"Low DTI", IF(Table13[[#This Row],[Debt_to_Income_Ratio]]&lt;0.5,"Moderate DTI", "High DTI"))</f>
        <v>Moderate DTI</v>
      </c>
      <c r="M239" t="s">
        <v>43</v>
      </c>
      <c r="N239" s="21">
        <v>7</v>
      </c>
      <c r="O239" t="s">
        <v>45</v>
      </c>
      <c r="P239" t="s">
        <v>53</v>
      </c>
      <c r="Q239" t="s">
        <v>29</v>
      </c>
      <c r="R239" t="s">
        <v>24</v>
      </c>
      <c r="S239" t="s">
        <v>29</v>
      </c>
      <c r="T239" t="s">
        <v>24</v>
      </c>
      <c r="U239" t="s">
        <v>29</v>
      </c>
      <c r="V239" t="s">
        <v>29</v>
      </c>
    </row>
    <row r="240" spans="1:22">
      <c r="A240" t="s">
        <v>276</v>
      </c>
      <c r="B240" s="21">
        <v>19</v>
      </c>
      <c r="C240" s="21">
        <v>170576</v>
      </c>
      <c r="D240" s="21">
        <v>729</v>
      </c>
      <c r="E240" t="str">
        <f>VLOOKUP(Table13[[#This Row],[Credit_Score]],Table4[],2,TRUE)</f>
        <v>Medium Risk</v>
      </c>
      <c r="F240">
        <v>0.26078055363512398</v>
      </c>
      <c r="G240" t="str">
        <f>IF(Table13[[#This Row],[Credit_Utilization]]&lt;0.3,"Low Utilization",
IF(Table13[[#This Row],[Credit_Utilization]]&lt;0.7,"Moderate Utilization",
"High Utilization"))</f>
        <v>Low Utilization</v>
      </c>
      <c r="H240" s="21">
        <v>2</v>
      </c>
      <c r="I240" s="21">
        <v>0</v>
      </c>
      <c r="J240" s="21">
        <v>29561</v>
      </c>
      <c r="K240">
        <v>0.34094505219256199</v>
      </c>
      <c r="L240" t="str">
        <f>IF(Table13[[#This Row],[Debt_to_Income_Ratio]]&lt;0.3,"Low DTI", IF(Table13[[#This Row],[Debt_to_Income_Ratio]]&lt;0.5,"Moderate DTI", "High DTI"))</f>
        <v>Moderate DTI</v>
      </c>
      <c r="M240" t="s">
        <v>43</v>
      </c>
      <c r="N240" s="21">
        <v>8</v>
      </c>
      <c r="O240" t="s">
        <v>31</v>
      </c>
      <c r="P240" t="s">
        <v>38</v>
      </c>
      <c r="Q240" t="s">
        <v>29</v>
      </c>
      <c r="R240" t="s">
        <v>23</v>
      </c>
      <c r="S240" t="s">
        <v>29</v>
      </c>
      <c r="T240" t="s">
        <v>24</v>
      </c>
      <c r="U240" t="s">
        <v>24</v>
      </c>
      <c r="V240" t="s">
        <v>23</v>
      </c>
    </row>
    <row r="241" spans="1:22">
      <c r="A241" t="s">
        <v>277</v>
      </c>
      <c r="B241" s="21">
        <v>20</v>
      </c>
      <c r="C241" s="21">
        <v>191615</v>
      </c>
      <c r="D241" s="21">
        <v>332</v>
      </c>
      <c r="E241" t="str">
        <f>VLOOKUP(Table13[[#This Row],[Credit_Score]],Table4[],2,TRUE)</f>
        <v>High Risk</v>
      </c>
      <c r="F241">
        <v>0.492052219038765</v>
      </c>
      <c r="G241" t="str">
        <f>IF(Table13[[#This Row],[Credit_Utilization]]&lt;0.3,"Low Utilization",
IF(Table13[[#This Row],[Credit_Utilization]]&lt;0.7,"Moderate Utilization",
"High Utilization"))</f>
        <v>Moderate Utilization</v>
      </c>
      <c r="H241" s="21">
        <v>5</v>
      </c>
      <c r="I241" s="21">
        <v>0</v>
      </c>
      <c r="J241" s="21">
        <v>44439</v>
      </c>
      <c r="K241">
        <v>0.316869132533943</v>
      </c>
      <c r="L241" t="str">
        <f>IF(Table13[[#This Row],[Debt_to_Income_Ratio]]&lt;0.3,"Low DTI", IF(Table13[[#This Row],[Debt_to_Income_Ratio]]&lt;0.5,"Moderate DTI", "High DTI"))</f>
        <v>Moderate DTI</v>
      </c>
      <c r="M241" t="s">
        <v>43</v>
      </c>
      <c r="N241" s="21">
        <v>4</v>
      </c>
      <c r="O241" t="s">
        <v>45</v>
      </c>
      <c r="P241" t="s">
        <v>28</v>
      </c>
      <c r="Q241" t="s">
        <v>29</v>
      </c>
      <c r="R241" t="s">
        <v>29</v>
      </c>
      <c r="S241" t="s">
        <v>24</v>
      </c>
      <c r="T241" t="s">
        <v>29</v>
      </c>
      <c r="U241" t="s">
        <v>23</v>
      </c>
      <c r="V241" t="s">
        <v>29</v>
      </c>
    </row>
    <row r="242" spans="1:22">
      <c r="A242" t="s">
        <v>278</v>
      </c>
      <c r="B242" s="21">
        <v>66</v>
      </c>
      <c r="C242" s="21">
        <v>138961</v>
      </c>
      <c r="D242" s="21">
        <v>563</v>
      </c>
      <c r="E242" t="str">
        <f>VLOOKUP(Table13[[#This Row],[Credit_Score]],Table4[],2,TRUE)</f>
        <v>High Risk</v>
      </c>
      <c r="F242">
        <v>0.30525007040838398</v>
      </c>
      <c r="G242" t="str">
        <f>IF(Table13[[#This Row],[Credit_Utilization]]&lt;0.3,"Low Utilization",
IF(Table13[[#This Row],[Credit_Utilization]]&lt;0.7,"Moderate Utilization",
"High Utilization"))</f>
        <v>Moderate Utilization</v>
      </c>
      <c r="H242" s="21">
        <v>0</v>
      </c>
      <c r="I242" s="21">
        <v>0</v>
      </c>
      <c r="J242" s="21">
        <v>33772</v>
      </c>
      <c r="K242">
        <v>0.288367696072374</v>
      </c>
      <c r="L242" t="str">
        <f>IF(Table13[[#This Row],[Debt_to_Income_Ratio]]&lt;0.3,"Low DTI", IF(Table13[[#This Row],[Debt_to_Income_Ratio]]&lt;0.5,"Moderate DTI", "High DTI"))</f>
        <v>Low DTI</v>
      </c>
      <c r="M242" t="s">
        <v>34</v>
      </c>
      <c r="N242" s="21">
        <v>9</v>
      </c>
      <c r="O242" t="s">
        <v>31</v>
      </c>
      <c r="P242" t="s">
        <v>28</v>
      </c>
      <c r="Q242" t="s">
        <v>29</v>
      </c>
      <c r="R242" t="s">
        <v>23</v>
      </c>
      <c r="S242" t="s">
        <v>24</v>
      </c>
      <c r="T242" t="s">
        <v>23</v>
      </c>
      <c r="U242" t="s">
        <v>24</v>
      </c>
      <c r="V242" t="s">
        <v>24</v>
      </c>
    </row>
    <row r="243" spans="1:22">
      <c r="A243" t="s">
        <v>279</v>
      </c>
      <c r="B243" s="21">
        <v>54</v>
      </c>
      <c r="C243" s="21">
        <v>114657</v>
      </c>
      <c r="D243" s="21">
        <v>522</v>
      </c>
      <c r="E243" t="str">
        <f>VLOOKUP(Table13[[#This Row],[Credit_Score]],Table4[],2,TRUE)</f>
        <v>High Risk</v>
      </c>
      <c r="F243">
        <v>0.14547797433683499</v>
      </c>
      <c r="G243" t="str">
        <f>IF(Table13[[#This Row],[Credit_Utilization]]&lt;0.3,"Low Utilization",
IF(Table13[[#This Row],[Credit_Utilization]]&lt;0.7,"Moderate Utilization",
"High Utilization"))</f>
        <v>Low Utilization</v>
      </c>
      <c r="H243" s="21">
        <v>0</v>
      </c>
      <c r="I243" s="21">
        <v>0</v>
      </c>
      <c r="J243" s="21">
        <v>31481</v>
      </c>
      <c r="K243">
        <v>0.27076803506617098</v>
      </c>
      <c r="L243" t="str">
        <f>IF(Table13[[#This Row],[Debt_to_Income_Ratio]]&lt;0.3,"Low DTI", IF(Table13[[#This Row],[Debt_to_Income_Ratio]]&lt;0.5,"Moderate DTI", "High DTI"))</f>
        <v>Low DTI</v>
      </c>
      <c r="M243" t="s">
        <v>50</v>
      </c>
      <c r="N243" s="21">
        <v>1</v>
      </c>
      <c r="O243" t="s">
        <v>37</v>
      </c>
      <c r="P243" t="s">
        <v>38</v>
      </c>
      <c r="Q243" t="s">
        <v>23</v>
      </c>
      <c r="R243" t="s">
        <v>24</v>
      </c>
      <c r="S243" t="s">
        <v>23</v>
      </c>
      <c r="T243" t="s">
        <v>29</v>
      </c>
      <c r="U243" t="s">
        <v>24</v>
      </c>
      <c r="V243" t="s">
        <v>23</v>
      </c>
    </row>
    <row r="244" spans="1:22">
      <c r="A244" t="s">
        <v>280</v>
      </c>
      <c r="B244" s="21">
        <v>66</v>
      </c>
      <c r="C244" s="21">
        <v>76813</v>
      </c>
      <c r="D244" s="21">
        <v>749</v>
      </c>
      <c r="E244" t="str">
        <f>VLOOKUP(Table13[[#This Row],[Credit_Score]],Table4[],2,TRUE)</f>
        <v>Medium Risk</v>
      </c>
      <c r="F244">
        <v>0.66068916247311604</v>
      </c>
      <c r="G244" t="str">
        <f>IF(Table13[[#This Row],[Credit_Utilization]]&lt;0.3,"Low Utilization",
IF(Table13[[#This Row],[Credit_Utilization]]&lt;0.7,"Moderate Utilization",
"High Utilization"))</f>
        <v>Moderate Utilization</v>
      </c>
      <c r="H244" s="21">
        <v>6</v>
      </c>
      <c r="I244" s="21">
        <v>0</v>
      </c>
      <c r="J244" s="21">
        <v>29584</v>
      </c>
      <c r="K244">
        <v>0.39124833895474098</v>
      </c>
      <c r="L244" t="str">
        <f>IF(Table13[[#This Row],[Debt_to_Income_Ratio]]&lt;0.3,"Low DTI", IF(Table13[[#This Row],[Debt_to_Income_Ratio]]&lt;0.5,"Moderate DTI", "High DTI"))</f>
        <v>Moderate DTI</v>
      </c>
      <c r="M244" t="s">
        <v>43</v>
      </c>
      <c r="N244" s="21">
        <v>8</v>
      </c>
      <c r="O244" t="s">
        <v>31</v>
      </c>
      <c r="P244" t="s">
        <v>53</v>
      </c>
      <c r="Q244" t="s">
        <v>29</v>
      </c>
      <c r="R244" t="s">
        <v>29</v>
      </c>
      <c r="S244" t="s">
        <v>23</v>
      </c>
      <c r="T244" t="s">
        <v>23</v>
      </c>
      <c r="U244" t="s">
        <v>29</v>
      </c>
      <c r="V244" t="s">
        <v>23</v>
      </c>
    </row>
    <row r="245" spans="1:22">
      <c r="A245" t="s">
        <v>281</v>
      </c>
      <c r="B245" s="21">
        <v>73</v>
      </c>
      <c r="C245" s="21">
        <v>48307</v>
      </c>
      <c r="D245" s="21">
        <v>319</v>
      </c>
      <c r="E245" t="str">
        <f>VLOOKUP(Table13[[#This Row],[Credit_Score]],Table4[],2,TRUE)</f>
        <v>High Risk</v>
      </c>
      <c r="F245">
        <v>0.67043335765036605</v>
      </c>
      <c r="G245" t="str">
        <f>IF(Table13[[#This Row],[Credit_Utilization]]&lt;0.3,"Low Utilization",
IF(Table13[[#This Row],[Credit_Utilization]]&lt;0.7,"Moderate Utilization",
"High Utilization"))</f>
        <v>Moderate Utilization</v>
      </c>
      <c r="H245" s="21">
        <v>3</v>
      </c>
      <c r="I245" s="21">
        <v>0</v>
      </c>
      <c r="J245" s="21">
        <v>45776</v>
      </c>
      <c r="K245">
        <v>0.28587069367939</v>
      </c>
      <c r="L245" t="str">
        <f>IF(Table13[[#This Row],[Debt_to_Income_Ratio]]&lt;0.3,"Low DTI", IF(Table13[[#This Row],[Debt_to_Income_Ratio]]&lt;0.5,"Moderate DTI", "High DTI"))</f>
        <v>Low DTI</v>
      </c>
      <c r="M245" t="s">
        <v>43</v>
      </c>
      <c r="N245" s="21">
        <v>10</v>
      </c>
      <c r="O245" t="s">
        <v>37</v>
      </c>
      <c r="P245" t="s">
        <v>38</v>
      </c>
      <c r="Q245" t="s">
        <v>23</v>
      </c>
      <c r="R245" t="s">
        <v>29</v>
      </c>
      <c r="S245" t="s">
        <v>23</v>
      </c>
      <c r="T245" t="s">
        <v>23</v>
      </c>
      <c r="U245" t="s">
        <v>24</v>
      </c>
      <c r="V245" t="s">
        <v>23</v>
      </c>
    </row>
    <row r="246" spans="1:22">
      <c r="A246" t="s">
        <v>282</v>
      </c>
      <c r="B246" s="21">
        <v>34</v>
      </c>
      <c r="C246" s="21">
        <v>193677</v>
      </c>
      <c r="D246" s="21">
        <v>380</v>
      </c>
      <c r="E246" t="str">
        <f>VLOOKUP(Table13[[#This Row],[Credit_Score]],Table4[],2,TRUE)</f>
        <v>High Risk</v>
      </c>
      <c r="F246">
        <v>0.32823224540938101</v>
      </c>
      <c r="G246" t="str">
        <f>IF(Table13[[#This Row],[Credit_Utilization]]&lt;0.3,"Low Utilization",
IF(Table13[[#This Row],[Credit_Utilization]]&lt;0.7,"Moderate Utilization",
"High Utilization"))</f>
        <v>Moderate Utilization</v>
      </c>
      <c r="H246" s="21">
        <v>2</v>
      </c>
      <c r="I246" s="21">
        <v>0</v>
      </c>
      <c r="J246" s="21">
        <v>83604</v>
      </c>
      <c r="K246">
        <v>0.29359389614661102</v>
      </c>
      <c r="L246" t="str">
        <f>IF(Table13[[#This Row],[Debt_to_Income_Ratio]]&lt;0.3,"Low DTI", IF(Table13[[#This Row],[Debt_to_Income_Ratio]]&lt;0.5,"Moderate DTI", "High DTI"))</f>
        <v>Low DTI</v>
      </c>
      <c r="M246" t="s">
        <v>34</v>
      </c>
      <c r="N246" s="21">
        <v>3</v>
      </c>
      <c r="O246" t="s">
        <v>37</v>
      </c>
      <c r="P246" t="s">
        <v>22</v>
      </c>
      <c r="Q246" t="s">
        <v>23</v>
      </c>
      <c r="R246" t="s">
        <v>29</v>
      </c>
      <c r="S246" t="s">
        <v>24</v>
      </c>
      <c r="T246" t="s">
        <v>29</v>
      </c>
      <c r="U246" t="s">
        <v>24</v>
      </c>
      <c r="V246" t="s">
        <v>24</v>
      </c>
    </row>
    <row r="247" spans="1:22">
      <c r="A247" t="s">
        <v>283</v>
      </c>
      <c r="B247" s="21">
        <v>66</v>
      </c>
      <c r="C247" s="21">
        <v>186334</v>
      </c>
      <c r="D247" s="21">
        <v>521</v>
      </c>
      <c r="E247" t="str">
        <f>VLOOKUP(Table13[[#This Row],[Credit_Score]],Table4[],2,TRUE)</f>
        <v>High Risk</v>
      </c>
      <c r="F247">
        <v>0.54879286425584795</v>
      </c>
      <c r="G247" t="str">
        <f>IF(Table13[[#This Row],[Credit_Utilization]]&lt;0.3,"Low Utilization",
IF(Table13[[#This Row],[Credit_Utilization]]&lt;0.7,"Moderate Utilization",
"High Utilization"))</f>
        <v>Moderate Utilization</v>
      </c>
      <c r="H247" s="21">
        <v>3</v>
      </c>
      <c r="I247" s="21">
        <v>0</v>
      </c>
      <c r="J247" s="21">
        <v>20052</v>
      </c>
      <c r="K247">
        <v>0.35298931548837698</v>
      </c>
      <c r="L247" t="str">
        <f>IF(Table13[[#This Row],[Debt_to_Income_Ratio]]&lt;0.3,"Low DTI", IF(Table13[[#This Row],[Debt_to_Income_Ratio]]&lt;0.5,"Moderate DTI", "High DTI"))</f>
        <v>Moderate DTI</v>
      </c>
      <c r="M247" t="s">
        <v>43</v>
      </c>
      <c r="N247" s="21">
        <v>1</v>
      </c>
      <c r="O247" t="s">
        <v>21</v>
      </c>
      <c r="P247" t="s">
        <v>28</v>
      </c>
      <c r="Q247" t="s">
        <v>24</v>
      </c>
      <c r="R247" t="s">
        <v>23</v>
      </c>
      <c r="S247" t="s">
        <v>24</v>
      </c>
      <c r="T247" t="s">
        <v>24</v>
      </c>
      <c r="U247" t="s">
        <v>29</v>
      </c>
      <c r="V247" t="s">
        <v>23</v>
      </c>
    </row>
    <row r="248" spans="1:22">
      <c r="A248" t="s">
        <v>284</v>
      </c>
      <c r="B248" s="21">
        <v>19</v>
      </c>
      <c r="C248" s="21">
        <v>74163</v>
      </c>
      <c r="D248" s="21">
        <v>623</v>
      </c>
      <c r="E248" t="str">
        <f>VLOOKUP(Table13[[#This Row],[Credit_Score]],Table4[],2,TRUE)</f>
        <v>Medium Risk</v>
      </c>
      <c r="F248">
        <v>0.70039045355835305</v>
      </c>
      <c r="G248" t="str">
        <f>IF(Table13[[#This Row],[Credit_Utilization]]&lt;0.3,"Low Utilization",
IF(Table13[[#This Row],[Credit_Utilization]]&lt;0.7,"Moderate Utilization",
"High Utilization"))</f>
        <v>High Utilization</v>
      </c>
      <c r="H248" s="21">
        <v>5</v>
      </c>
      <c r="I248" s="21">
        <v>0</v>
      </c>
      <c r="J248" s="21">
        <v>15424</v>
      </c>
      <c r="K248">
        <v>0.32079609306803802</v>
      </c>
      <c r="L248" t="str">
        <f>IF(Table13[[#This Row],[Debt_to_Income_Ratio]]&lt;0.3,"Low DTI", IF(Table13[[#This Row],[Debt_to_Income_Ratio]]&lt;0.5,"Moderate DTI", "High DTI"))</f>
        <v>Moderate DTI</v>
      </c>
      <c r="M248" t="s">
        <v>43</v>
      </c>
      <c r="N248" s="21">
        <v>5</v>
      </c>
      <c r="O248" t="s">
        <v>37</v>
      </c>
      <c r="P248" t="s">
        <v>22</v>
      </c>
      <c r="Q248" t="s">
        <v>24</v>
      </c>
      <c r="R248" t="s">
        <v>23</v>
      </c>
      <c r="S248" t="s">
        <v>24</v>
      </c>
      <c r="T248" t="s">
        <v>23</v>
      </c>
      <c r="U248" t="s">
        <v>23</v>
      </c>
      <c r="V248" t="s">
        <v>29</v>
      </c>
    </row>
    <row r="249" spans="1:22">
      <c r="A249" t="s">
        <v>285</v>
      </c>
      <c r="B249" s="21">
        <v>19</v>
      </c>
      <c r="C249" s="21">
        <v>102235</v>
      </c>
      <c r="D249" s="21">
        <v>412</v>
      </c>
      <c r="E249" t="str">
        <f>VLOOKUP(Table13[[#This Row],[Credit_Score]],Table4[],2,TRUE)</f>
        <v>High Risk</v>
      </c>
      <c r="F249">
        <v>0.541005337412375</v>
      </c>
      <c r="G249" t="str">
        <f>IF(Table13[[#This Row],[Credit_Utilization]]&lt;0.3,"Low Utilization",
IF(Table13[[#This Row],[Credit_Utilization]]&lt;0.7,"Moderate Utilization",
"High Utilization"))</f>
        <v>Moderate Utilization</v>
      </c>
      <c r="H249" s="21">
        <v>2</v>
      </c>
      <c r="I249" s="21">
        <v>1</v>
      </c>
      <c r="J249" s="21">
        <v>26649</v>
      </c>
      <c r="K249">
        <v>0.46422760575404298</v>
      </c>
      <c r="L249" t="str">
        <f>IF(Table13[[#This Row],[Debt_to_Income_Ratio]]&lt;0.3,"Low DTI", IF(Table13[[#This Row],[Debt_to_Income_Ratio]]&lt;0.5,"Moderate DTI", "High DTI"))</f>
        <v>Moderate DTI</v>
      </c>
      <c r="M249" t="s">
        <v>26</v>
      </c>
      <c r="N249" s="21">
        <v>13</v>
      </c>
      <c r="O249" t="s">
        <v>31</v>
      </c>
      <c r="P249" t="s">
        <v>28</v>
      </c>
      <c r="Q249" t="s">
        <v>29</v>
      </c>
      <c r="R249" t="s">
        <v>23</v>
      </c>
      <c r="S249" t="s">
        <v>29</v>
      </c>
      <c r="T249" t="s">
        <v>29</v>
      </c>
      <c r="U249" t="s">
        <v>29</v>
      </c>
      <c r="V249" t="s">
        <v>23</v>
      </c>
    </row>
    <row r="250" spans="1:22">
      <c r="A250" t="s">
        <v>286</v>
      </c>
      <c r="B250" s="21">
        <v>45</v>
      </c>
      <c r="C250" s="21">
        <v>27763</v>
      </c>
      <c r="D250" s="21">
        <v>655</v>
      </c>
      <c r="E250" t="str">
        <f>VLOOKUP(Table13[[#This Row],[Credit_Score]],Table4[],2,TRUE)</f>
        <v>Medium Risk</v>
      </c>
      <c r="F250">
        <v>0.26136907078025301</v>
      </c>
      <c r="G250" t="str">
        <f>IF(Table13[[#This Row],[Credit_Utilization]]&lt;0.3,"Low Utilization",
IF(Table13[[#This Row],[Credit_Utilization]]&lt;0.7,"Moderate Utilization",
"High Utilization"))</f>
        <v>Low Utilization</v>
      </c>
      <c r="H250" s="21">
        <v>4</v>
      </c>
      <c r="I250" s="21">
        <v>0</v>
      </c>
      <c r="J250" s="21">
        <v>52425</v>
      </c>
      <c r="K250">
        <v>0.12386332225266899</v>
      </c>
      <c r="L250" t="str">
        <f>IF(Table13[[#This Row],[Debt_to_Income_Ratio]]&lt;0.3,"Low DTI", IF(Table13[[#This Row],[Debt_to_Income_Ratio]]&lt;0.5,"Moderate DTI", "High DTI"))</f>
        <v>Low DTI</v>
      </c>
      <c r="M250" t="s">
        <v>43</v>
      </c>
      <c r="N250" s="21">
        <v>0</v>
      </c>
      <c r="O250" t="s">
        <v>21</v>
      </c>
      <c r="P250" t="s">
        <v>28</v>
      </c>
      <c r="Q250" t="s">
        <v>29</v>
      </c>
      <c r="R250" t="s">
        <v>29</v>
      </c>
      <c r="S250" t="s">
        <v>23</v>
      </c>
      <c r="T250" t="s">
        <v>23</v>
      </c>
      <c r="U250" t="s">
        <v>24</v>
      </c>
      <c r="V250" t="s">
        <v>23</v>
      </c>
    </row>
    <row r="251" spans="1:22">
      <c r="A251" t="s">
        <v>287</v>
      </c>
      <c r="B251" s="21">
        <v>71</v>
      </c>
      <c r="C251" s="21">
        <v>39285</v>
      </c>
      <c r="D251" s="21">
        <v>818</v>
      </c>
      <c r="E251" t="str">
        <f>VLOOKUP(Table13[[#This Row],[Credit_Score]],Table4[],2,TRUE)</f>
        <v>Low Risk</v>
      </c>
      <c r="F251">
        <v>0.45342131735258001</v>
      </c>
      <c r="G251" t="str">
        <f>IF(Table13[[#This Row],[Credit_Utilization]]&lt;0.3,"Low Utilization",
IF(Table13[[#This Row],[Credit_Utilization]]&lt;0.7,"Moderate Utilization",
"High Utilization"))</f>
        <v>Moderate Utilization</v>
      </c>
      <c r="H251" s="21">
        <v>1</v>
      </c>
      <c r="I251" s="21">
        <v>0</v>
      </c>
      <c r="J251" s="21">
        <v>99620</v>
      </c>
      <c r="K251">
        <v>0.329990743836726</v>
      </c>
      <c r="L251" t="str">
        <f>IF(Table13[[#This Row],[Debt_to_Income_Ratio]]&lt;0.3,"Low DTI", IF(Table13[[#This Row],[Debt_to_Income_Ratio]]&lt;0.5,"Moderate DTI", "High DTI"))</f>
        <v>Moderate DTI</v>
      </c>
      <c r="M251" t="s">
        <v>50</v>
      </c>
      <c r="N251" s="21">
        <v>17</v>
      </c>
      <c r="O251" t="s">
        <v>21</v>
      </c>
      <c r="P251" t="s">
        <v>32</v>
      </c>
      <c r="Q251" t="s">
        <v>24</v>
      </c>
      <c r="R251" t="s">
        <v>29</v>
      </c>
      <c r="S251" t="s">
        <v>24</v>
      </c>
      <c r="T251" t="s">
        <v>24</v>
      </c>
      <c r="U251" t="s">
        <v>29</v>
      </c>
      <c r="V251" t="s">
        <v>29</v>
      </c>
    </row>
    <row r="252" spans="1:22">
      <c r="A252" t="s">
        <v>288</v>
      </c>
      <c r="B252" s="21">
        <v>40</v>
      </c>
      <c r="C252" s="21">
        <v>66991</v>
      </c>
      <c r="D252" s="21">
        <v>337</v>
      </c>
      <c r="E252" t="str">
        <f>VLOOKUP(Table13[[#This Row],[Credit_Score]],Table4[],2,TRUE)</f>
        <v>High Risk</v>
      </c>
      <c r="F252">
        <v>0.765361884008398</v>
      </c>
      <c r="G252" t="str">
        <f>IF(Table13[[#This Row],[Credit_Utilization]]&lt;0.3,"Low Utilization",
IF(Table13[[#This Row],[Credit_Utilization]]&lt;0.7,"Moderate Utilization",
"High Utilization"))</f>
        <v>High Utilization</v>
      </c>
      <c r="H252" s="21">
        <v>4</v>
      </c>
      <c r="I252" s="21">
        <v>0</v>
      </c>
      <c r="J252" s="21">
        <v>23431</v>
      </c>
      <c r="K252">
        <v>0.229439421952783</v>
      </c>
      <c r="L252" t="str">
        <f>IF(Table13[[#This Row],[Debt_to_Income_Ratio]]&lt;0.3,"Low DTI", IF(Table13[[#This Row],[Debt_to_Income_Ratio]]&lt;0.5,"Moderate DTI", "High DTI"))</f>
        <v>Low DTI</v>
      </c>
      <c r="M252" t="s">
        <v>43</v>
      </c>
      <c r="N252" s="21">
        <v>6</v>
      </c>
      <c r="O252" t="s">
        <v>37</v>
      </c>
      <c r="P252" t="s">
        <v>22</v>
      </c>
      <c r="Q252" t="s">
        <v>24</v>
      </c>
      <c r="R252" t="s">
        <v>24</v>
      </c>
      <c r="S252" t="s">
        <v>29</v>
      </c>
      <c r="T252" t="s">
        <v>23</v>
      </c>
      <c r="U252" t="s">
        <v>23</v>
      </c>
      <c r="V252" t="s">
        <v>24</v>
      </c>
    </row>
    <row r="253" spans="1:22">
      <c r="A253" t="s">
        <v>289</v>
      </c>
      <c r="B253" s="21">
        <v>54</v>
      </c>
      <c r="C253" s="21">
        <v>185883</v>
      </c>
      <c r="D253" s="21">
        <v>663</v>
      </c>
      <c r="E253" t="str">
        <f>VLOOKUP(Table13[[#This Row],[Credit_Score]],Table4[],2,TRUE)</f>
        <v>Medium Risk</v>
      </c>
      <c r="F253">
        <v>0.54940532872102199</v>
      </c>
      <c r="G253" t="str">
        <f>IF(Table13[[#This Row],[Credit_Utilization]]&lt;0.3,"Low Utilization",
IF(Table13[[#This Row],[Credit_Utilization]]&lt;0.7,"Moderate Utilization",
"High Utilization"))</f>
        <v>Moderate Utilization</v>
      </c>
      <c r="H253" s="21">
        <v>5</v>
      </c>
      <c r="I253" s="21">
        <v>1</v>
      </c>
      <c r="J253" s="21">
        <v>95074</v>
      </c>
      <c r="K253">
        <v>0.20579134652450701</v>
      </c>
      <c r="L253" t="str">
        <f>IF(Table13[[#This Row],[Debt_to_Income_Ratio]]&lt;0.3,"Low DTI", IF(Table13[[#This Row],[Debt_to_Income_Ratio]]&lt;0.5,"Moderate DTI", "High DTI"))</f>
        <v>Low DTI</v>
      </c>
      <c r="M253" t="s">
        <v>43</v>
      </c>
      <c r="N253" s="21">
        <v>0</v>
      </c>
      <c r="O253" t="s">
        <v>45</v>
      </c>
      <c r="P253" t="s">
        <v>22</v>
      </c>
      <c r="Q253" t="s">
        <v>24</v>
      </c>
      <c r="R253" t="s">
        <v>29</v>
      </c>
      <c r="S253" t="s">
        <v>24</v>
      </c>
      <c r="T253" t="s">
        <v>23</v>
      </c>
      <c r="U253" t="s">
        <v>29</v>
      </c>
      <c r="V253" t="s">
        <v>23</v>
      </c>
    </row>
    <row r="254" spans="1:22">
      <c r="A254" t="s">
        <v>290</v>
      </c>
      <c r="B254" s="21">
        <v>49</v>
      </c>
      <c r="C254" s="21">
        <v>119185</v>
      </c>
      <c r="D254" s="21">
        <v>635</v>
      </c>
      <c r="E254" t="str">
        <f>VLOOKUP(Table13[[#This Row],[Credit_Score]],Table4[],2,TRUE)</f>
        <v>Medium Risk</v>
      </c>
      <c r="F254">
        <v>0.607826420636561</v>
      </c>
      <c r="G254" t="str">
        <f>IF(Table13[[#This Row],[Credit_Utilization]]&lt;0.3,"Low Utilization",
IF(Table13[[#This Row],[Credit_Utilization]]&lt;0.7,"Moderate Utilization",
"High Utilization"))</f>
        <v>Moderate Utilization</v>
      </c>
      <c r="H254" s="21">
        <v>2</v>
      </c>
      <c r="I254" s="21">
        <v>0</v>
      </c>
      <c r="J254" s="21">
        <v>31674</v>
      </c>
      <c r="K254">
        <v>0.25429357939556502</v>
      </c>
      <c r="L254" t="str">
        <f>IF(Table13[[#This Row],[Debt_to_Income_Ratio]]&lt;0.3,"Low DTI", IF(Table13[[#This Row],[Debt_to_Income_Ratio]]&lt;0.5,"Moderate DTI", "High DTI"))</f>
        <v>Low DTI</v>
      </c>
      <c r="M254" t="s">
        <v>26</v>
      </c>
      <c r="N254" s="21">
        <v>0</v>
      </c>
      <c r="O254" t="s">
        <v>45</v>
      </c>
      <c r="P254" t="s">
        <v>32</v>
      </c>
      <c r="Q254" t="s">
        <v>24</v>
      </c>
      <c r="R254" t="s">
        <v>24</v>
      </c>
      <c r="S254" t="s">
        <v>23</v>
      </c>
      <c r="T254" t="s">
        <v>24</v>
      </c>
      <c r="U254" t="s">
        <v>23</v>
      </c>
      <c r="V254" t="s">
        <v>29</v>
      </c>
    </row>
    <row r="255" spans="1:22">
      <c r="A255" t="s">
        <v>291</v>
      </c>
      <c r="B255" s="21">
        <v>50</v>
      </c>
      <c r="C255" s="21">
        <v>98042</v>
      </c>
      <c r="D255" s="21">
        <v>847</v>
      </c>
      <c r="E255" t="str">
        <f>VLOOKUP(Table13[[#This Row],[Credit_Score]],Table4[],2,TRUE)</f>
        <v>Low Risk</v>
      </c>
      <c r="F255">
        <v>0.56832584387382201</v>
      </c>
      <c r="G255" t="str">
        <f>IF(Table13[[#This Row],[Credit_Utilization]]&lt;0.3,"Low Utilization",
IF(Table13[[#This Row],[Credit_Utilization]]&lt;0.7,"Moderate Utilization",
"High Utilization"))</f>
        <v>Moderate Utilization</v>
      </c>
      <c r="H255" s="21">
        <v>5</v>
      </c>
      <c r="I255" s="21">
        <v>1</v>
      </c>
      <c r="J255" s="21">
        <v>90739</v>
      </c>
      <c r="K255">
        <v>0.30546794084817602</v>
      </c>
      <c r="L255" t="str">
        <f>IF(Table13[[#This Row],[Debt_to_Income_Ratio]]&lt;0.3,"Low DTI", IF(Table13[[#This Row],[Debt_to_Income_Ratio]]&lt;0.5,"Moderate DTI", "High DTI"))</f>
        <v>Moderate DTI</v>
      </c>
      <c r="M255" t="s">
        <v>43</v>
      </c>
      <c r="N255" s="21">
        <v>0</v>
      </c>
      <c r="O255" t="s">
        <v>21</v>
      </c>
      <c r="P255" t="s">
        <v>53</v>
      </c>
      <c r="Q255" t="s">
        <v>29</v>
      </c>
      <c r="R255" t="s">
        <v>24</v>
      </c>
      <c r="S255" t="s">
        <v>23</v>
      </c>
      <c r="T255" t="s">
        <v>24</v>
      </c>
      <c r="U255" t="s">
        <v>24</v>
      </c>
      <c r="V255" t="s">
        <v>29</v>
      </c>
    </row>
    <row r="256" spans="1:22">
      <c r="A256" t="s">
        <v>292</v>
      </c>
      <c r="B256" s="21">
        <v>18</v>
      </c>
      <c r="C256" s="21">
        <v>116042</v>
      </c>
      <c r="D256" s="21">
        <v>544</v>
      </c>
      <c r="E256" t="str">
        <f>VLOOKUP(Table13[[#This Row],[Credit_Score]],Table4[],2,TRUE)</f>
        <v>High Risk</v>
      </c>
      <c r="F256">
        <v>0.328897728404349</v>
      </c>
      <c r="G256" t="str">
        <f>IF(Table13[[#This Row],[Credit_Utilization]]&lt;0.3,"Low Utilization",
IF(Table13[[#This Row],[Credit_Utilization]]&lt;0.7,"Moderate Utilization",
"High Utilization"))</f>
        <v>Moderate Utilization</v>
      </c>
      <c r="H256" s="21">
        <v>1</v>
      </c>
      <c r="I256" s="21">
        <v>0</v>
      </c>
      <c r="J256" s="21">
        <v>30509</v>
      </c>
      <c r="K256">
        <v>0.30990690759234002</v>
      </c>
      <c r="L256" t="str">
        <f>IF(Table13[[#This Row],[Debt_to_Income_Ratio]]&lt;0.3,"Low DTI", IF(Table13[[#This Row],[Debt_to_Income_Ratio]]&lt;0.5,"Moderate DTI", "High DTI"))</f>
        <v>Moderate DTI</v>
      </c>
      <c r="M256" t="s">
        <v>34</v>
      </c>
      <c r="N256" s="21">
        <v>3</v>
      </c>
      <c r="O256" t="s">
        <v>37</v>
      </c>
      <c r="P256" t="s">
        <v>22</v>
      </c>
      <c r="Q256" t="s">
        <v>24</v>
      </c>
      <c r="R256" t="s">
        <v>23</v>
      </c>
      <c r="S256" t="s">
        <v>29</v>
      </c>
      <c r="T256" t="s">
        <v>29</v>
      </c>
      <c r="U256" t="s">
        <v>24</v>
      </c>
      <c r="V256" t="s">
        <v>24</v>
      </c>
    </row>
    <row r="257" spans="1:22">
      <c r="A257" t="s">
        <v>293</v>
      </c>
      <c r="B257" s="21">
        <v>36</v>
      </c>
      <c r="C257" s="21">
        <v>95219</v>
      </c>
      <c r="D257" s="21">
        <v>535</v>
      </c>
      <c r="E257" t="str">
        <f>VLOOKUP(Table13[[#This Row],[Credit_Score]],Table4[],2,TRUE)</f>
        <v>High Risk</v>
      </c>
      <c r="F257">
        <v>0.37583095614347101</v>
      </c>
      <c r="G257" t="str">
        <f>IF(Table13[[#This Row],[Credit_Utilization]]&lt;0.3,"Low Utilization",
IF(Table13[[#This Row],[Credit_Utilization]]&lt;0.7,"Moderate Utilization",
"High Utilization"))</f>
        <v>Moderate Utilization</v>
      </c>
      <c r="H257" s="21">
        <v>0</v>
      </c>
      <c r="I257" s="21">
        <v>0</v>
      </c>
      <c r="J257" s="21">
        <v>41594</v>
      </c>
      <c r="K257">
        <v>0.14826937843214999</v>
      </c>
      <c r="L257" t="str">
        <f>IF(Table13[[#This Row],[Debt_to_Income_Ratio]]&lt;0.3,"Low DTI", IF(Table13[[#This Row],[Debt_to_Income_Ratio]]&lt;0.5,"Moderate DTI", "High DTI"))</f>
        <v>Low DTI</v>
      </c>
      <c r="M257" t="s">
        <v>26</v>
      </c>
      <c r="N257" s="21">
        <v>3</v>
      </c>
      <c r="O257" t="s">
        <v>45</v>
      </c>
      <c r="P257" t="s">
        <v>38</v>
      </c>
      <c r="Q257" t="s">
        <v>29</v>
      </c>
      <c r="R257" t="s">
        <v>24</v>
      </c>
      <c r="S257" t="s">
        <v>24</v>
      </c>
      <c r="T257" t="s">
        <v>29</v>
      </c>
      <c r="U257" t="s">
        <v>29</v>
      </c>
      <c r="V257" t="s">
        <v>23</v>
      </c>
    </row>
    <row r="258" spans="1:22">
      <c r="A258" t="s">
        <v>294</v>
      </c>
      <c r="B258" s="21">
        <v>19</v>
      </c>
      <c r="C258" s="21">
        <v>155734</v>
      </c>
      <c r="D258" s="21">
        <v>524</v>
      </c>
      <c r="E258" t="str">
        <f>VLOOKUP(Table13[[#This Row],[Credit_Score]],Table4[],2,TRUE)</f>
        <v>High Risk</v>
      </c>
      <c r="F258">
        <v>0.56777303141034796</v>
      </c>
      <c r="G258" t="str">
        <f>IF(Table13[[#This Row],[Credit_Utilization]]&lt;0.3,"Low Utilization",
IF(Table13[[#This Row],[Credit_Utilization]]&lt;0.7,"Moderate Utilization",
"High Utilization"))</f>
        <v>Moderate Utilization</v>
      </c>
      <c r="H258" s="21">
        <v>0</v>
      </c>
      <c r="I258" s="21">
        <v>0</v>
      </c>
      <c r="J258" s="21">
        <v>3142</v>
      </c>
      <c r="K258">
        <v>0.24589161703221801</v>
      </c>
      <c r="L258" t="str">
        <f>IF(Table13[[#This Row],[Debt_to_Income_Ratio]]&lt;0.3,"Low DTI", IF(Table13[[#This Row],[Debt_to_Income_Ratio]]&lt;0.5,"Moderate DTI", "High DTI"))</f>
        <v>Low DTI</v>
      </c>
      <c r="M258" t="s">
        <v>34</v>
      </c>
      <c r="N258" s="21">
        <v>17</v>
      </c>
      <c r="O258" t="s">
        <v>37</v>
      </c>
      <c r="P258" t="s">
        <v>32</v>
      </c>
      <c r="Q258" t="s">
        <v>29</v>
      </c>
      <c r="R258" t="s">
        <v>29</v>
      </c>
      <c r="S258" t="s">
        <v>29</v>
      </c>
      <c r="T258" t="s">
        <v>29</v>
      </c>
      <c r="U258" t="s">
        <v>23</v>
      </c>
      <c r="V258" t="s">
        <v>24</v>
      </c>
    </row>
    <row r="259" spans="1:22">
      <c r="A259" t="s">
        <v>295</v>
      </c>
      <c r="B259" s="21">
        <v>70</v>
      </c>
      <c r="C259" s="21">
        <v>116042</v>
      </c>
      <c r="D259" s="21">
        <v>608</v>
      </c>
      <c r="E259" t="str">
        <f>VLOOKUP(Table13[[#This Row],[Credit_Score]],Table4[],2,TRUE)</f>
        <v>Medium Risk</v>
      </c>
      <c r="F259">
        <v>0.66337435600408101</v>
      </c>
      <c r="G259" t="str">
        <f>IF(Table13[[#This Row],[Credit_Utilization]]&lt;0.3,"Low Utilization",
IF(Table13[[#This Row],[Credit_Utilization]]&lt;0.7,"Moderate Utilization",
"High Utilization"))</f>
        <v>Moderate Utilization</v>
      </c>
      <c r="H259" s="21">
        <v>5</v>
      </c>
      <c r="I259" s="21">
        <v>1</v>
      </c>
      <c r="J259" s="21">
        <v>63443</v>
      </c>
      <c r="K259">
        <v>0.32812215514764498</v>
      </c>
      <c r="L259" t="str">
        <f>IF(Table13[[#This Row],[Debt_to_Income_Ratio]]&lt;0.3,"Low DTI", IF(Table13[[#This Row],[Debt_to_Income_Ratio]]&lt;0.5,"Moderate DTI", "High DTI"))</f>
        <v>Moderate DTI</v>
      </c>
      <c r="M259" t="s">
        <v>26</v>
      </c>
      <c r="N259" s="21">
        <v>10</v>
      </c>
      <c r="O259" t="s">
        <v>37</v>
      </c>
      <c r="P259" t="s">
        <v>22</v>
      </c>
      <c r="Q259" t="s">
        <v>23</v>
      </c>
      <c r="R259" t="s">
        <v>29</v>
      </c>
      <c r="S259" t="s">
        <v>24</v>
      </c>
      <c r="T259" t="s">
        <v>23</v>
      </c>
      <c r="U259" t="s">
        <v>24</v>
      </c>
      <c r="V259" t="s">
        <v>29</v>
      </c>
    </row>
    <row r="260" spans="1:22">
      <c r="A260" t="s">
        <v>296</v>
      </c>
      <c r="B260" s="21">
        <v>61</v>
      </c>
      <c r="C260" s="21">
        <v>109456</v>
      </c>
      <c r="D260" s="21">
        <v>354</v>
      </c>
      <c r="E260" t="str">
        <f>VLOOKUP(Table13[[#This Row],[Credit_Score]],Table4[],2,TRUE)</f>
        <v>High Risk</v>
      </c>
      <c r="F260">
        <v>0.71998099018357598</v>
      </c>
      <c r="G260" t="str">
        <f>IF(Table13[[#This Row],[Credit_Utilization]]&lt;0.3,"Low Utilization",
IF(Table13[[#This Row],[Credit_Utilization]]&lt;0.7,"Moderate Utilization",
"High Utilization"))</f>
        <v>High Utilization</v>
      </c>
      <c r="H260" s="21">
        <v>3</v>
      </c>
      <c r="I260" s="21">
        <v>0</v>
      </c>
      <c r="J260" s="21">
        <v>8526</v>
      </c>
      <c r="K260">
        <v>0.21230695492163401</v>
      </c>
      <c r="L260" t="str">
        <f>IF(Table13[[#This Row],[Debt_to_Income_Ratio]]&lt;0.3,"Low DTI", IF(Table13[[#This Row],[Debt_to_Income_Ratio]]&lt;0.5,"Moderate DTI", "High DTI"))</f>
        <v>Low DTI</v>
      </c>
      <c r="M260" t="s">
        <v>43</v>
      </c>
      <c r="N260" s="21">
        <v>0</v>
      </c>
      <c r="O260" t="s">
        <v>21</v>
      </c>
      <c r="P260" t="s">
        <v>53</v>
      </c>
      <c r="Q260" t="s">
        <v>23</v>
      </c>
      <c r="R260" t="s">
        <v>24</v>
      </c>
      <c r="S260" t="s">
        <v>29</v>
      </c>
      <c r="T260" t="s">
        <v>24</v>
      </c>
      <c r="U260" t="s">
        <v>29</v>
      </c>
      <c r="V260" t="s">
        <v>24</v>
      </c>
    </row>
    <row r="261" spans="1:22">
      <c r="A261" t="s">
        <v>297</v>
      </c>
      <c r="B261" s="21">
        <v>43</v>
      </c>
      <c r="C261" s="21">
        <v>70284</v>
      </c>
      <c r="D261" s="21">
        <v>405</v>
      </c>
      <c r="E261" t="str">
        <f>VLOOKUP(Table13[[#This Row],[Credit_Score]],Table4[],2,TRUE)</f>
        <v>High Risk</v>
      </c>
      <c r="F261">
        <v>0.32837889104636098</v>
      </c>
      <c r="G261" t="str">
        <f>IF(Table13[[#This Row],[Credit_Utilization]]&lt;0.3,"Low Utilization",
IF(Table13[[#This Row],[Credit_Utilization]]&lt;0.7,"Moderate Utilization",
"High Utilization"))</f>
        <v>Moderate Utilization</v>
      </c>
      <c r="H261" s="21">
        <v>2</v>
      </c>
      <c r="I261" s="21">
        <v>0</v>
      </c>
      <c r="J261" s="21">
        <v>10778</v>
      </c>
      <c r="K261">
        <v>0.18852160952834801</v>
      </c>
      <c r="L261" t="str">
        <f>IF(Table13[[#This Row],[Debt_to_Income_Ratio]]&lt;0.3,"Low DTI", IF(Table13[[#This Row],[Debt_to_Income_Ratio]]&lt;0.5,"Moderate DTI", "High DTI"))</f>
        <v>Low DTI</v>
      </c>
      <c r="M261" t="s">
        <v>34</v>
      </c>
      <c r="N261" s="21">
        <v>9</v>
      </c>
      <c r="O261" t="s">
        <v>21</v>
      </c>
      <c r="P261" t="s">
        <v>22</v>
      </c>
      <c r="Q261" t="s">
        <v>23</v>
      </c>
      <c r="R261" t="s">
        <v>24</v>
      </c>
      <c r="S261" t="s">
        <v>24</v>
      </c>
      <c r="T261" t="s">
        <v>29</v>
      </c>
      <c r="U261" t="s">
        <v>24</v>
      </c>
      <c r="V261" t="s">
        <v>29</v>
      </c>
    </row>
    <row r="262" spans="1:22">
      <c r="A262" t="s">
        <v>298</v>
      </c>
      <c r="B262" s="21">
        <v>49</v>
      </c>
      <c r="C262" s="21">
        <v>61540</v>
      </c>
      <c r="D262" s="21">
        <v>777</v>
      </c>
      <c r="E262" t="str">
        <f>VLOOKUP(Table13[[#This Row],[Credit_Score]],Table4[],2,TRUE)</f>
        <v>Low Risk</v>
      </c>
      <c r="F262">
        <v>0.58662410693543798</v>
      </c>
      <c r="G262" t="str">
        <f>IF(Table13[[#This Row],[Credit_Utilization]]&lt;0.3,"Low Utilization",
IF(Table13[[#This Row],[Credit_Utilization]]&lt;0.7,"Moderate Utilization",
"High Utilization"))</f>
        <v>Moderate Utilization</v>
      </c>
      <c r="H262" s="21">
        <v>2</v>
      </c>
      <c r="I262" s="21">
        <v>0</v>
      </c>
      <c r="J262" s="21">
        <v>15171</v>
      </c>
      <c r="K262">
        <v>0.1</v>
      </c>
      <c r="L262" t="str">
        <f>IF(Table13[[#This Row],[Debt_to_Income_Ratio]]&lt;0.3,"Low DTI", IF(Table13[[#This Row],[Debt_to_Income_Ratio]]&lt;0.5,"Moderate DTI", "High DTI"))</f>
        <v>Low DTI</v>
      </c>
      <c r="M262" t="s">
        <v>34</v>
      </c>
      <c r="N262" s="21">
        <v>8</v>
      </c>
      <c r="O262" t="s">
        <v>27</v>
      </c>
      <c r="P262" t="s">
        <v>28</v>
      </c>
      <c r="Q262" t="s">
        <v>29</v>
      </c>
      <c r="R262" t="s">
        <v>24</v>
      </c>
      <c r="S262" t="s">
        <v>23</v>
      </c>
      <c r="T262" t="s">
        <v>29</v>
      </c>
      <c r="U262" t="s">
        <v>29</v>
      </c>
      <c r="V262" t="s">
        <v>23</v>
      </c>
    </row>
    <row r="263" spans="1:22">
      <c r="A263" t="s">
        <v>299</v>
      </c>
      <c r="B263" s="21">
        <v>23</v>
      </c>
      <c r="C263" s="21">
        <v>93752</v>
      </c>
      <c r="D263" s="21">
        <v>350</v>
      </c>
      <c r="E263" t="str">
        <f>VLOOKUP(Table13[[#This Row],[Credit_Score]],Table4[],2,TRUE)</f>
        <v>High Risk</v>
      </c>
      <c r="F263">
        <v>0.73740882234379501</v>
      </c>
      <c r="G263" t="str">
        <f>IF(Table13[[#This Row],[Credit_Utilization]]&lt;0.3,"Low Utilization",
IF(Table13[[#This Row],[Credit_Utilization]]&lt;0.7,"Moderate Utilization",
"High Utilization"))</f>
        <v>High Utilization</v>
      </c>
      <c r="H263" s="21">
        <v>0</v>
      </c>
      <c r="I263" s="21">
        <v>0</v>
      </c>
      <c r="J263" s="21">
        <v>11942</v>
      </c>
      <c r="K263">
        <v>0.233680655162464</v>
      </c>
      <c r="L263" t="str">
        <f>IF(Table13[[#This Row],[Debt_to_Income_Ratio]]&lt;0.3,"Low DTI", IF(Table13[[#This Row],[Debt_to_Income_Ratio]]&lt;0.5,"Moderate DTI", "High DTI"))</f>
        <v>Low DTI</v>
      </c>
      <c r="M263" t="s">
        <v>34</v>
      </c>
      <c r="N263" s="21">
        <v>3</v>
      </c>
      <c r="O263" t="s">
        <v>45</v>
      </c>
      <c r="P263" t="s">
        <v>38</v>
      </c>
      <c r="Q263" t="s">
        <v>29</v>
      </c>
      <c r="R263" t="s">
        <v>24</v>
      </c>
      <c r="S263" t="s">
        <v>29</v>
      </c>
      <c r="T263" t="s">
        <v>23</v>
      </c>
      <c r="U263" t="s">
        <v>24</v>
      </c>
      <c r="V263" t="s">
        <v>23</v>
      </c>
    </row>
    <row r="264" spans="1:22">
      <c r="A264" t="s">
        <v>300</v>
      </c>
      <c r="B264" s="21">
        <v>49</v>
      </c>
      <c r="C264" s="21">
        <v>42350</v>
      </c>
      <c r="D264" s="21">
        <v>341</v>
      </c>
      <c r="E264" t="str">
        <f>VLOOKUP(Table13[[#This Row],[Credit_Score]],Table4[],2,TRUE)</f>
        <v>High Risk</v>
      </c>
      <c r="F264">
        <v>0.30258364594239501</v>
      </c>
      <c r="G264" t="str">
        <f>IF(Table13[[#This Row],[Credit_Utilization]]&lt;0.3,"Low Utilization",
IF(Table13[[#This Row],[Credit_Utilization]]&lt;0.7,"Moderate Utilization",
"High Utilization"))</f>
        <v>Moderate Utilization</v>
      </c>
      <c r="H264" s="21">
        <v>6</v>
      </c>
      <c r="I264" s="21">
        <v>0</v>
      </c>
      <c r="J264" s="21">
        <v>83022</v>
      </c>
      <c r="K264">
        <v>0.18503708010491801</v>
      </c>
      <c r="L264" t="str">
        <f>IF(Table13[[#This Row],[Debt_to_Income_Ratio]]&lt;0.3,"Low DTI", IF(Table13[[#This Row],[Debt_to_Income_Ratio]]&lt;0.5,"Moderate DTI", "High DTI"))</f>
        <v>Low DTI</v>
      </c>
      <c r="M264" t="s">
        <v>26</v>
      </c>
      <c r="N264" s="21">
        <v>5</v>
      </c>
      <c r="O264" t="s">
        <v>45</v>
      </c>
      <c r="P264" t="s">
        <v>32</v>
      </c>
      <c r="Q264" t="s">
        <v>23</v>
      </c>
      <c r="R264" t="s">
        <v>24</v>
      </c>
      <c r="S264" t="s">
        <v>24</v>
      </c>
      <c r="T264" t="s">
        <v>23</v>
      </c>
      <c r="U264" t="s">
        <v>24</v>
      </c>
      <c r="V264" t="s">
        <v>24</v>
      </c>
    </row>
    <row r="265" spans="1:22">
      <c r="A265" t="s">
        <v>301</v>
      </c>
      <c r="B265" s="21">
        <v>72</v>
      </c>
      <c r="C265" s="21">
        <v>97750</v>
      </c>
      <c r="D265" s="21">
        <v>414</v>
      </c>
      <c r="E265" t="str">
        <f>VLOOKUP(Table13[[#This Row],[Credit_Score]],Table4[],2,TRUE)</f>
        <v>High Risk</v>
      </c>
      <c r="F265">
        <v>0.79734942715995405</v>
      </c>
      <c r="G265" t="str">
        <f>IF(Table13[[#This Row],[Credit_Utilization]]&lt;0.3,"Low Utilization",
IF(Table13[[#This Row],[Credit_Utilization]]&lt;0.7,"Moderate Utilization",
"High Utilization"))</f>
        <v>High Utilization</v>
      </c>
      <c r="H265" s="21">
        <v>4</v>
      </c>
      <c r="I265" s="21">
        <v>0</v>
      </c>
      <c r="J265" s="21">
        <v>72332</v>
      </c>
      <c r="K265">
        <v>0.20160671168899399</v>
      </c>
      <c r="L265" t="str">
        <f>IF(Table13[[#This Row],[Debt_to_Income_Ratio]]&lt;0.3,"Low DTI", IF(Table13[[#This Row],[Debt_to_Income_Ratio]]&lt;0.5,"Moderate DTI", "High DTI"))</f>
        <v>Low DTI</v>
      </c>
      <c r="M265" t="s">
        <v>43</v>
      </c>
      <c r="N265" s="21">
        <v>15</v>
      </c>
      <c r="O265" t="s">
        <v>45</v>
      </c>
      <c r="P265" t="s">
        <v>28</v>
      </c>
      <c r="Q265" t="s">
        <v>23</v>
      </c>
      <c r="R265" t="s">
        <v>24</v>
      </c>
      <c r="S265" t="s">
        <v>23</v>
      </c>
      <c r="T265" t="s">
        <v>24</v>
      </c>
      <c r="U265" t="s">
        <v>29</v>
      </c>
      <c r="V265" t="s">
        <v>24</v>
      </c>
    </row>
    <row r="266" spans="1:22">
      <c r="A266" t="s">
        <v>302</v>
      </c>
      <c r="B266" s="21">
        <v>21</v>
      </c>
      <c r="C266" s="21">
        <v>142016</v>
      </c>
      <c r="D266" s="21">
        <v>445</v>
      </c>
      <c r="E266" t="str">
        <f>VLOOKUP(Table13[[#This Row],[Credit_Score]],Table4[],2,TRUE)</f>
        <v>High Risk</v>
      </c>
      <c r="F266">
        <v>0.82778816546883704</v>
      </c>
      <c r="G266" t="str">
        <f>IF(Table13[[#This Row],[Credit_Utilization]]&lt;0.3,"Low Utilization",
IF(Table13[[#This Row],[Credit_Utilization]]&lt;0.7,"Moderate Utilization",
"High Utilization"))</f>
        <v>High Utilization</v>
      </c>
      <c r="H266" s="21">
        <v>6</v>
      </c>
      <c r="I266" s="21">
        <v>1</v>
      </c>
      <c r="J266" s="21">
        <v>65548</v>
      </c>
      <c r="K266">
        <v>0.27281796967203398</v>
      </c>
      <c r="L266" t="str">
        <f>IF(Table13[[#This Row],[Debt_to_Income_Ratio]]&lt;0.3,"Low DTI", IF(Table13[[#This Row],[Debt_to_Income_Ratio]]&lt;0.5,"Moderate DTI", "High DTI"))</f>
        <v>Low DTI</v>
      </c>
      <c r="M266" t="s">
        <v>43</v>
      </c>
      <c r="N266" s="21">
        <v>1</v>
      </c>
      <c r="O266" t="s">
        <v>31</v>
      </c>
      <c r="P266" t="s">
        <v>53</v>
      </c>
      <c r="Q266" t="s">
        <v>23</v>
      </c>
      <c r="R266" t="s">
        <v>29</v>
      </c>
      <c r="S266" t="s">
        <v>24</v>
      </c>
      <c r="T266" t="s">
        <v>23</v>
      </c>
      <c r="U266" t="s">
        <v>23</v>
      </c>
      <c r="V266" t="s">
        <v>29</v>
      </c>
    </row>
    <row r="267" spans="1:22">
      <c r="A267" t="s">
        <v>303</v>
      </c>
      <c r="B267" s="21">
        <v>72</v>
      </c>
      <c r="C267" s="21">
        <v>16062</v>
      </c>
      <c r="D267" s="21">
        <v>584</v>
      </c>
      <c r="E267" t="str">
        <f>VLOOKUP(Table13[[#This Row],[Credit_Score]],Table4[],2,TRUE)</f>
        <v>High Risk</v>
      </c>
      <c r="F267">
        <v>1.0250172679243299</v>
      </c>
      <c r="G267" t="str">
        <f>IF(Table13[[#This Row],[Credit_Utilization]]&lt;0.3,"Low Utilization",
IF(Table13[[#This Row],[Credit_Utilization]]&lt;0.7,"Moderate Utilization",
"High Utilization"))</f>
        <v>High Utilization</v>
      </c>
      <c r="H267" s="21">
        <v>1</v>
      </c>
      <c r="I267" s="21">
        <v>0</v>
      </c>
      <c r="J267" s="21">
        <v>92285</v>
      </c>
      <c r="K267">
        <v>0.24001711234570999</v>
      </c>
      <c r="L267" t="str">
        <f>IF(Table13[[#This Row],[Debt_to_Income_Ratio]]&lt;0.3,"Low DTI", IF(Table13[[#This Row],[Debt_to_Income_Ratio]]&lt;0.5,"Moderate DTI", "High DTI"))</f>
        <v>Low DTI</v>
      </c>
      <c r="M267" t="s">
        <v>34</v>
      </c>
      <c r="N267" s="21">
        <v>17</v>
      </c>
      <c r="O267" t="s">
        <v>37</v>
      </c>
      <c r="P267" t="s">
        <v>28</v>
      </c>
      <c r="Q267" t="s">
        <v>24</v>
      </c>
      <c r="R267" t="s">
        <v>23</v>
      </c>
      <c r="S267" t="s">
        <v>24</v>
      </c>
      <c r="T267" t="s">
        <v>24</v>
      </c>
      <c r="U267" t="s">
        <v>29</v>
      </c>
      <c r="V267" t="s">
        <v>23</v>
      </c>
    </row>
    <row r="268" spans="1:22">
      <c r="A268" t="s">
        <v>304</v>
      </c>
      <c r="B268" s="21">
        <v>28</v>
      </c>
      <c r="C268" s="21">
        <v>75692</v>
      </c>
      <c r="D268" s="21">
        <v>534</v>
      </c>
      <c r="E268" t="str">
        <f>VLOOKUP(Table13[[#This Row],[Credit_Score]],Table4[],2,TRUE)</f>
        <v>High Risk</v>
      </c>
      <c r="F268">
        <v>0.54618668816599802</v>
      </c>
      <c r="G268" t="str">
        <f>IF(Table13[[#This Row],[Credit_Utilization]]&lt;0.3,"Low Utilization",
IF(Table13[[#This Row],[Credit_Utilization]]&lt;0.7,"Moderate Utilization",
"High Utilization"))</f>
        <v>Moderate Utilization</v>
      </c>
      <c r="H268" s="21">
        <v>4</v>
      </c>
      <c r="I268" s="21">
        <v>0</v>
      </c>
      <c r="J268" s="21">
        <v>48397</v>
      </c>
      <c r="K268">
        <v>0.183376210614069</v>
      </c>
      <c r="L268" t="str">
        <f>IF(Table13[[#This Row],[Debt_to_Income_Ratio]]&lt;0.3,"Low DTI", IF(Table13[[#This Row],[Debt_to_Income_Ratio]]&lt;0.5,"Moderate DTI", "High DTI"))</f>
        <v>Low DTI</v>
      </c>
      <c r="M268" t="s">
        <v>50</v>
      </c>
      <c r="N268" s="21">
        <v>9</v>
      </c>
      <c r="O268" t="s">
        <v>21</v>
      </c>
      <c r="P268" t="s">
        <v>28</v>
      </c>
      <c r="Q268" t="s">
        <v>24</v>
      </c>
      <c r="R268" t="s">
        <v>24</v>
      </c>
      <c r="S268" t="s">
        <v>23</v>
      </c>
      <c r="T268" t="s">
        <v>23</v>
      </c>
      <c r="U268" t="s">
        <v>24</v>
      </c>
      <c r="V268" t="s">
        <v>23</v>
      </c>
    </row>
    <row r="269" spans="1:22">
      <c r="A269" t="s">
        <v>305</v>
      </c>
      <c r="B269" s="21">
        <v>73</v>
      </c>
      <c r="C269" s="21">
        <v>158087</v>
      </c>
      <c r="D269" s="21">
        <v>669</v>
      </c>
      <c r="E269" t="str">
        <f>VLOOKUP(Table13[[#This Row],[Credit_Score]],Table4[],2,TRUE)</f>
        <v>Medium Risk</v>
      </c>
      <c r="F269">
        <v>0.547284935252489</v>
      </c>
      <c r="G269" t="str">
        <f>IF(Table13[[#This Row],[Credit_Utilization]]&lt;0.3,"Low Utilization",
IF(Table13[[#This Row],[Credit_Utilization]]&lt;0.7,"Moderate Utilization",
"High Utilization"))</f>
        <v>Moderate Utilization</v>
      </c>
      <c r="H269" s="21">
        <v>4</v>
      </c>
      <c r="I269" s="21">
        <v>0</v>
      </c>
      <c r="J269" s="21">
        <v>68998</v>
      </c>
      <c r="K269">
        <v>0.1</v>
      </c>
      <c r="L269" t="str">
        <f>IF(Table13[[#This Row],[Debt_to_Income_Ratio]]&lt;0.3,"Low DTI", IF(Table13[[#This Row],[Debt_to_Income_Ratio]]&lt;0.5,"Moderate DTI", "High DTI"))</f>
        <v>Low DTI</v>
      </c>
      <c r="M269" t="s">
        <v>43</v>
      </c>
      <c r="N269" s="21">
        <v>16</v>
      </c>
      <c r="O269" t="s">
        <v>45</v>
      </c>
      <c r="P269" t="s">
        <v>53</v>
      </c>
      <c r="Q269" t="s">
        <v>23</v>
      </c>
      <c r="R269" t="s">
        <v>23</v>
      </c>
      <c r="S269" t="s">
        <v>24</v>
      </c>
      <c r="T269" t="s">
        <v>29</v>
      </c>
      <c r="U269" t="s">
        <v>24</v>
      </c>
      <c r="V269" t="s">
        <v>23</v>
      </c>
    </row>
    <row r="270" spans="1:22">
      <c r="A270" t="s">
        <v>306</v>
      </c>
      <c r="B270" s="21">
        <v>34</v>
      </c>
      <c r="C270" s="21">
        <v>53765</v>
      </c>
      <c r="D270" s="21">
        <v>736</v>
      </c>
      <c r="E270" t="str">
        <f>VLOOKUP(Table13[[#This Row],[Credit_Score]],Table4[],2,TRUE)</f>
        <v>Medium Risk</v>
      </c>
      <c r="F270">
        <v>0.66539887782346296</v>
      </c>
      <c r="G270" t="str">
        <f>IF(Table13[[#This Row],[Credit_Utilization]]&lt;0.3,"Low Utilization",
IF(Table13[[#This Row],[Credit_Utilization]]&lt;0.7,"Moderate Utilization",
"High Utilization"))</f>
        <v>Moderate Utilization</v>
      </c>
      <c r="H270" s="21">
        <v>5</v>
      </c>
      <c r="I270" s="21">
        <v>0</v>
      </c>
      <c r="J270" s="21">
        <v>52413</v>
      </c>
      <c r="K270">
        <v>0.33023113051476399</v>
      </c>
      <c r="L270" t="str">
        <f>IF(Table13[[#This Row],[Debt_to_Income_Ratio]]&lt;0.3,"Low DTI", IF(Table13[[#This Row],[Debt_to_Income_Ratio]]&lt;0.5,"Moderate DTI", "High DTI"))</f>
        <v>Moderate DTI</v>
      </c>
      <c r="M270" t="s">
        <v>50</v>
      </c>
      <c r="N270" s="21">
        <v>12</v>
      </c>
      <c r="O270" t="s">
        <v>27</v>
      </c>
      <c r="P270" t="s">
        <v>28</v>
      </c>
      <c r="Q270" t="s">
        <v>24</v>
      </c>
      <c r="R270" t="s">
        <v>24</v>
      </c>
      <c r="S270" t="s">
        <v>29</v>
      </c>
      <c r="T270" t="s">
        <v>29</v>
      </c>
      <c r="U270" t="s">
        <v>24</v>
      </c>
      <c r="V270" t="s">
        <v>23</v>
      </c>
    </row>
    <row r="271" spans="1:22">
      <c r="A271" t="s">
        <v>307</v>
      </c>
      <c r="B271" s="21">
        <v>55</v>
      </c>
      <c r="C271" s="21">
        <v>198062</v>
      </c>
      <c r="D271" s="21">
        <v>766</v>
      </c>
      <c r="E271" t="str">
        <f>VLOOKUP(Table13[[#This Row],[Credit_Score]],Table4[],2,TRUE)</f>
        <v>Low Risk</v>
      </c>
      <c r="F271">
        <v>0.65956053460988295</v>
      </c>
      <c r="G271" t="str">
        <f>IF(Table13[[#This Row],[Credit_Utilization]]&lt;0.3,"Low Utilization",
IF(Table13[[#This Row],[Credit_Utilization]]&lt;0.7,"Moderate Utilization",
"High Utilization"))</f>
        <v>Moderate Utilization</v>
      </c>
      <c r="H271" s="21">
        <v>0</v>
      </c>
      <c r="I271" s="21">
        <v>0</v>
      </c>
      <c r="J271" s="21">
        <v>50989</v>
      </c>
      <c r="K271">
        <v>0.37528272138084701</v>
      </c>
      <c r="L271" t="str">
        <f>IF(Table13[[#This Row],[Debt_to_Income_Ratio]]&lt;0.3,"Low DTI", IF(Table13[[#This Row],[Debt_to_Income_Ratio]]&lt;0.5,"Moderate DTI", "High DTI"))</f>
        <v>Moderate DTI</v>
      </c>
      <c r="M271" t="s">
        <v>43</v>
      </c>
      <c r="N271" s="21">
        <v>17</v>
      </c>
      <c r="O271" t="s">
        <v>45</v>
      </c>
      <c r="P271" t="s">
        <v>32</v>
      </c>
      <c r="Q271" t="s">
        <v>24</v>
      </c>
      <c r="R271" t="s">
        <v>24</v>
      </c>
      <c r="S271" t="s">
        <v>29</v>
      </c>
      <c r="T271" t="s">
        <v>24</v>
      </c>
      <c r="U271" t="s">
        <v>23</v>
      </c>
      <c r="V271" t="s">
        <v>23</v>
      </c>
    </row>
    <row r="272" spans="1:22">
      <c r="A272" t="s">
        <v>308</v>
      </c>
      <c r="B272" s="21">
        <v>41</v>
      </c>
      <c r="C272" s="21">
        <v>38049</v>
      </c>
      <c r="D272" s="21">
        <v>648</v>
      </c>
      <c r="E272" t="str">
        <f>VLOOKUP(Table13[[#This Row],[Credit_Score]],Table4[],2,TRUE)</f>
        <v>Medium Risk</v>
      </c>
      <c r="F272">
        <v>0.72527337219912102</v>
      </c>
      <c r="G272" t="str">
        <f>IF(Table13[[#This Row],[Credit_Utilization]]&lt;0.3,"Low Utilization",
IF(Table13[[#This Row],[Credit_Utilization]]&lt;0.7,"Moderate Utilization",
"High Utilization"))</f>
        <v>High Utilization</v>
      </c>
      <c r="H272" s="21">
        <v>6</v>
      </c>
      <c r="I272" s="21">
        <v>0</v>
      </c>
      <c r="J272" s="21">
        <v>44016</v>
      </c>
      <c r="K272">
        <v>0.26032550210056199</v>
      </c>
      <c r="L272" t="str">
        <f>IF(Table13[[#This Row],[Debt_to_Income_Ratio]]&lt;0.3,"Low DTI", IF(Table13[[#This Row],[Debt_to_Income_Ratio]]&lt;0.5,"Moderate DTI", "High DTI"))</f>
        <v>Low DTI</v>
      </c>
      <c r="M272" t="s">
        <v>43</v>
      </c>
      <c r="N272" s="21">
        <v>12</v>
      </c>
      <c r="O272" t="s">
        <v>37</v>
      </c>
      <c r="P272" t="s">
        <v>22</v>
      </c>
      <c r="Q272" t="s">
        <v>23</v>
      </c>
      <c r="R272" t="s">
        <v>24</v>
      </c>
      <c r="S272" t="s">
        <v>23</v>
      </c>
      <c r="T272" t="s">
        <v>29</v>
      </c>
      <c r="U272" t="s">
        <v>24</v>
      </c>
      <c r="V272" t="s">
        <v>24</v>
      </c>
    </row>
    <row r="273" spans="1:22">
      <c r="A273" t="s">
        <v>309</v>
      </c>
      <c r="B273" s="21">
        <v>22</v>
      </c>
      <c r="C273" s="21">
        <v>166222</v>
      </c>
      <c r="D273" s="21">
        <v>762</v>
      </c>
      <c r="E273" t="str">
        <f>VLOOKUP(Table13[[#This Row],[Credit_Score]],Table4[],2,TRUE)</f>
        <v>Low Risk</v>
      </c>
      <c r="F273">
        <v>0.65680663609302004</v>
      </c>
      <c r="G273" t="str">
        <f>IF(Table13[[#This Row],[Credit_Utilization]]&lt;0.3,"Low Utilization",
IF(Table13[[#This Row],[Credit_Utilization]]&lt;0.7,"Moderate Utilization",
"High Utilization"))</f>
        <v>Moderate Utilization</v>
      </c>
      <c r="H273" s="21">
        <v>6</v>
      </c>
      <c r="I273" s="21">
        <v>0</v>
      </c>
      <c r="J273" s="21">
        <v>29416</v>
      </c>
      <c r="K273">
        <v>0.27342243035457198</v>
      </c>
      <c r="L273" t="str">
        <f>IF(Table13[[#This Row],[Debt_to_Income_Ratio]]&lt;0.3,"Low DTI", IF(Table13[[#This Row],[Debt_to_Income_Ratio]]&lt;0.5,"Moderate DTI", "High DTI"))</f>
        <v>Low DTI</v>
      </c>
      <c r="M273" t="s">
        <v>34</v>
      </c>
      <c r="N273" s="21">
        <v>16</v>
      </c>
      <c r="O273" t="s">
        <v>37</v>
      </c>
      <c r="P273" t="s">
        <v>28</v>
      </c>
      <c r="Q273" t="s">
        <v>23</v>
      </c>
      <c r="R273" t="s">
        <v>24</v>
      </c>
      <c r="S273" t="s">
        <v>24</v>
      </c>
      <c r="T273" t="s">
        <v>23</v>
      </c>
      <c r="U273" t="s">
        <v>23</v>
      </c>
      <c r="V273" t="s">
        <v>23</v>
      </c>
    </row>
    <row r="274" spans="1:22">
      <c r="A274" t="s">
        <v>310</v>
      </c>
      <c r="B274" s="21">
        <v>69</v>
      </c>
      <c r="C274" s="21">
        <v>107658</v>
      </c>
      <c r="D274" s="21">
        <v>423</v>
      </c>
      <c r="E274" t="str">
        <f>VLOOKUP(Table13[[#This Row],[Credit_Score]],Table4[],2,TRUE)</f>
        <v>High Risk</v>
      </c>
      <c r="F274">
        <v>0.47878761819239202</v>
      </c>
      <c r="G274" t="str">
        <f>IF(Table13[[#This Row],[Credit_Utilization]]&lt;0.3,"Low Utilization",
IF(Table13[[#This Row],[Credit_Utilization]]&lt;0.7,"Moderate Utilization",
"High Utilization"))</f>
        <v>Moderate Utilization</v>
      </c>
      <c r="H274" s="21">
        <v>0</v>
      </c>
      <c r="I274" s="21">
        <v>1</v>
      </c>
      <c r="J274" s="21">
        <v>45776</v>
      </c>
      <c r="K274">
        <v>0.30028105156861201</v>
      </c>
      <c r="L274" t="str">
        <f>IF(Table13[[#This Row],[Debt_to_Income_Ratio]]&lt;0.3,"Low DTI", IF(Table13[[#This Row],[Debt_to_Income_Ratio]]&lt;0.5,"Moderate DTI", "High DTI"))</f>
        <v>Moderate DTI</v>
      </c>
      <c r="M274" t="s">
        <v>34</v>
      </c>
      <c r="N274" s="21">
        <v>4</v>
      </c>
      <c r="O274" t="s">
        <v>21</v>
      </c>
      <c r="P274" t="s">
        <v>32</v>
      </c>
      <c r="Q274" t="s">
        <v>24</v>
      </c>
      <c r="R274" t="s">
        <v>23</v>
      </c>
      <c r="S274" t="s">
        <v>24</v>
      </c>
      <c r="T274" t="s">
        <v>23</v>
      </c>
      <c r="U274" t="s">
        <v>24</v>
      </c>
      <c r="V274" t="s">
        <v>24</v>
      </c>
    </row>
    <row r="275" spans="1:22">
      <c r="A275" t="s">
        <v>311</v>
      </c>
      <c r="B275" s="21">
        <v>51</v>
      </c>
      <c r="C275" s="21">
        <v>193031</v>
      </c>
      <c r="D275" s="21">
        <v>670</v>
      </c>
      <c r="E275" t="str">
        <f>VLOOKUP(Table13[[#This Row],[Credit_Score]],Table4[],2,TRUE)</f>
        <v>Medium Risk</v>
      </c>
      <c r="F275">
        <v>0.74439942419469995</v>
      </c>
      <c r="G275" t="str">
        <f>IF(Table13[[#This Row],[Credit_Utilization]]&lt;0.3,"Low Utilization",
IF(Table13[[#This Row],[Credit_Utilization]]&lt;0.7,"Moderate Utilization",
"High Utilization"))</f>
        <v>High Utilization</v>
      </c>
      <c r="H275" s="21">
        <v>6</v>
      </c>
      <c r="I275" s="21">
        <v>1</v>
      </c>
      <c r="J275" s="21">
        <v>80150</v>
      </c>
      <c r="K275">
        <v>0.45787835766122498</v>
      </c>
      <c r="L275" t="str">
        <f>IF(Table13[[#This Row],[Debt_to_Income_Ratio]]&lt;0.3,"Low DTI", IF(Table13[[#This Row],[Debt_to_Income_Ratio]]&lt;0.5,"Moderate DTI", "High DTI"))</f>
        <v>Moderate DTI</v>
      </c>
      <c r="M275" t="s">
        <v>26</v>
      </c>
      <c r="N275" s="21">
        <v>10</v>
      </c>
      <c r="O275" t="s">
        <v>31</v>
      </c>
      <c r="P275" t="s">
        <v>22</v>
      </c>
      <c r="Q275" t="s">
        <v>29</v>
      </c>
      <c r="R275" t="s">
        <v>29</v>
      </c>
      <c r="S275" t="s">
        <v>24</v>
      </c>
      <c r="T275" t="s">
        <v>24</v>
      </c>
      <c r="U275" t="s">
        <v>23</v>
      </c>
      <c r="V275" t="s">
        <v>24</v>
      </c>
    </row>
    <row r="276" spans="1:22">
      <c r="A276" t="s">
        <v>312</v>
      </c>
      <c r="B276" s="21">
        <v>23</v>
      </c>
      <c r="C276" s="21">
        <v>189358</v>
      </c>
      <c r="D276" s="21">
        <v>823</v>
      </c>
      <c r="E276" t="str">
        <f>VLOOKUP(Table13[[#This Row],[Credit_Score]],Table4[],2,TRUE)</f>
        <v>Low Risk</v>
      </c>
      <c r="F276">
        <v>0.28574917006145401</v>
      </c>
      <c r="G276" t="str">
        <f>IF(Table13[[#This Row],[Credit_Utilization]]&lt;0.3,"Low Utilization",
IF(Table13[[#This Row],[Credit_Utilization]]&lt;0.7,"Moderate Utilization",
"High Utilization"))</f>
        <v>Low Utilization</v>
      </c>
      <c r="H276" s="21">
        <v>0</v>
      </c>
      <c r="I276" s="21">
        <v>0</v>
      </c>
      <c r="J276" s="21">
        <v>2687</v>
      </c>
      <c r="K276">
        <v>0.14322922061742199</v>
      </c>
      <c r="L276" t="str">
        <f>IF(Table13[[#This Row],[Debt_to_Income_Ratio]]&lt;0.3,"Low DTI", IF(Table13[[#This Row],[Debt_to_Income_Ratio]]&lt;0.5,"Moderate DTI", "High DTI"))</f>
        <v>Low DTI</v>
      </c>
      <c r="M276" t="s">
        <v>43</v>
      </c>
      <c r="N276" s="21">
        <v>6</v>
      </c>
      <c r="O276" t="s">
        <v>21</v>
      </c>
      <c r="P276" t="s">
        <v>22</v>
      </c>
      <c r="Q276" t="s">
        <v>23</v>
      </c>
      <c r="R276" t="s">
        <v>29</v>
      </c>
      <c r="S276" t="s">
        <v>29</v>
      </c>
      <c r="T276" t="s">
        <v>23</v>
      </c>
      <c r="U276" t="s">
        <v>23</v>
      </c>
      <c r="V276" t="s">
        <v>23</v>
      </c>
    </row>
    <row r="277" spans="1:22">
      <c r="A277" t="s">
        <v>313</v>
      </c>
      <c r="B277" s="21">
        <v>39</v>
      </c>
      <c r="C277" s="21">
        <v>101188</v>
      </c>
      <c r="D277" s="21">
        <v>694</v>
      </c>
      <c r="E277" t="str">
        <f>VLOOKUP(Table13[[#This Row],[Credit_Score]],Table4[],2,TRUE)</f>
        <v>Medium Risk</v>
      </c>
      <c r="F277">
        <v>0.50117046734507498</v>
      </c>
      <c r="G277" t="str">
        <f>IF(Table13[[#This Row],[Credit_Utilization]]&lt;0.3,"Low Utilization",
IF(Table13[[#This Row],[Credit_Utilization]]&lt;0.7,"Moderate Utilization",
"High Utilization"))</f>
        <v>Moderate Utilization</v>
      </c>
      <c r="H277" s="21">
        <v>5</v>
      </c>
      <c r="I277" s="21">
        <v>1</v>
      </c>
      <c r="J277" s="21">
        <v>23685</v>
      </c>
      <c r="K277">
        <v>0.258551027412743</v>
      </c>
      <c r="L277" t="str">
        <f>IF(Table13[[#This Row],[Debt_to_Income_Ratio]]&lt;0.3,"Low DTI", IF(Table13[[#This Row],[Debt_to_Income_Ratio]]&lt;0.5,"Moderate DTI", "High DTI"))</f>
        <v>Low DTI</v>
      </c>
      <c r="M277" t="s">
        <v>43</v>
      </c>
      <c r="N277" s="21">
        <v>9</v>
      </c>
      <c r="O277" t="s">
        <v>45</v>
      </c>
      <c r="P277" t="s">
        <v>28</v>
      </c>
      <c r="Q277" t="s">
        <v>23</v>
      </c>
      <c r="R277" t="s">
        <v>23</v>
      </c>
      <c r="S277" t="s">
        <v>29</v>
      </c>
      <c r="T277" t="s">
        <v>23</v>
      </c>
      <c r="U277" t="s">
        <v>29</v>
      </c>
      <c r="V277" t="s">
        <v>24</v>
      </c>
    </row>
    <row r="278" spans="1:22">
      <c r="A278" t="s">
        <v>314</v>
      </c>
      <c r="B278" s="21">
        <v>28</v>
      </c>
      <c r="C278" s="21">
        <v>107658</v>
      </c>
      <c r="D278" s="21">
        <v>421</v>
      </c>
      <c r="E278" t="str">
        <f>VLOOKUP(Table13[[#This Row],[Credit_Score]],Table4[],2,TRUE)</f>
        <v>High Risk</v>
      </c>
      <c r="F278">
        <v>0.81274712320995901</v>
      </c>
      <c r="G278" t="str">
        <f>IF(Table13[[#This Row],[Credit_Utilization]]&lt;0.3,"Low Utilization",
IF(Table13[[#This Row],[Credit_Utilization]]&lt;0.7,"Moderate Utilization",
"High Utilization"))</f>
        <v>High Utilization</v>
      </c>
      <c r="H278" s="21">
        <v>3</v>
      </c>
      <c r="I278" s="21">
        <v>0</v>
      </c>
      <c r="J278" s="21">
        <v>77719</v>
      </c>
      <c r="K278">
        <v>0.12780270358672799</v>
      </c>
      <c r="L278" t="str">
        <f>IF(Table13[[#This Row],[Debt_to_Income_Ratio]]&lt;0.3,"Low DTI", IF(Table13[[#This Row],[Debt_to_Income_Ratio]]&lt;0.5,"Moderate DTI", "High DTI"))</f>
        <v>Low DTI</v>
      </c>
      <c r="M278" t="s">
        <v>34</v>
      </c>
      <c r="N278" s="21">
        <v>16</v>
      </c>
      <c r="O278" t="s">
        <v>27</v>
      </c>
      <c r="P278" t="s">
        <v>32</v>
      </c>
      <c r="Q278" t="s">
        <v>29</v>
      </c>
      <c r="R278" t="s">
        <v>24</v>
      </c>
      <c r="S278" t="s">
        <v>24</v>
      </c>
      <c r="T278" t="s">
        <v>23</v>
      </c>
      <c r="U278" t="s">
        <v>24</v>
      </c>
      <c r="V278" t="s">
        <v>29</v>
      </c>
    </row>
    <row r="279" spans="1:22">
      <c r="A279" t="s">
        <v>315</v>
      </c>
      <c r="B279" s="21">
        <v>65</v>
      </c>
      <c r="C279" s="21">
        <v>54749</v>
      </c>
      <c r="D279" s="21">
        <v>407</v>
      </c>
      <c r="E279" t="str">
        <f>VLOOKUP(Table13[[#This Row],[Credit_Score]],Table4[],2,TRUE)</f>
        <v>High Risk</v>
      </c>
      <c r="F279">
        <v>0.249950700375936</v>
      </c>
      <c r="G279" t="str">
        <f>IF(Table13[[#This Row],[Credit_Utilization]]&lt;0.3,"Low Utilization",
IF(Table13[[#This Row],[Credit_Utilization]]&lt;0.7,"Moderate Utilization",
"High Utilization"))</f>
        <v>Low Utilization</v>
      </c>
      <c r="H279" s="21">
        <v>4</v>
      </c>
      <c r="I279" s="21">
        <v>0</v>
      </c>
      <c r="J279" s="21">
        <v>44439</v>
      </c>
      <c r="K279">
        <v>0.33623184587355498</v>
      </c>
      <c r="L279" t="str">
        <f>IF(Table13[[#This Row],[Debt_to_Income_Ratio]]&lt;0.3,"Low DTI", IF(Table13[[#This Row],[Debt_to_Income_Ratio]]&lt;0.5,"Moderate DTI", "High DTI"))</f>
        <v>Moderate DTI</v>
      </c>
      <c r="M279" t="s">
        <v>43</v>
      </c>
      <c r="N279" s="21">
        <v>14</v>
      </c>
      <c r="O279" t="s">
        <v>21</v>
      </c>
      <c r="P279" t="s">
        <v>28</v>
      </c>
      <c r="Q279" t="s">
        <v>24</v>
      </c>
      <c r="R279" t="s">
        <v>24</v>
      </c>
      <c r="S279" t="s">
        <v>29</v>
      </c>
      <c r="T279" t="s">
        <v>29</v>
      </c>
      <c r="U279" t="s">
        <v>29</v>
      </c>
      <c r="V279" t="s">
        <v>23</v>
      </c>
    </row>
    <row r="280" spans="1:22">
      <c r="A280" t="s">
        <v>316</v>
      </c>
      <c r="B280" s="21">
        <v>33</v>
      </c>
      <c r="C280" s="21">
        <v>107658</v>
      </c>
      <c r="D280" s="21">
        <v>418</v>
      </c>
      <c r="E280" t="str">
        <f>VLOOKUP(Table13[[#This Row],[Credit_Score]],Table4[],2,TRUE)</f>
        <v>High Risk</v>
      </c>
      <c r="F280">
        <v>0.36450486860056702</v>
      </c>
      <c r="G280" t="str">
        <f>IF(Table13[[#This Row],[Credit_Utilization]]&lt;0.3,"Low Utilization",
IF(Table13[[#This Row],[Credit_Utilization]]&lt;0.7,"Moderate Utilization",
"High Utilization"))</f>
        <v>Moderate Utilization</v>
      </c>
      <c r="H280" s="21">
        <v>5</v>
      </c>
      <c r="I280" s="21">
        <v>0</v>
      </c>
      <c r="J280" s="21">
        <v>37905</v>
      </c>
      <c r="K280">
        <v>0.28560416062119798</v>
      </c>
      <c r="L280" t="str">
        <f>IF(Table13[[#This Row],[Debt_to_Income_Ratio]]&lt;0.3,"Low DTI", IF(Table13[[#This Row],[Debt_to_Income_Ratio]]&lt;0.5,"Moderate DTI", "High DTI"))</f>
        <v>Low DTI</v>
      </c>
      <c r="M280" t="s">
        <v>34</v>
      </c>
      <c r="N280" s="21">
        <v>17</v>
      </c>
      <c r="O280" t="s">
        <v>31</v>
      </c>
      <c r="P280" t="s">
        <v>53</v>
      </c>
      <c r="Q280" t="s">
        <v>24</v>
      </c>
      <c r="R280" t="s">
        <v>29</v>
      </c>
      <c r="S280" t="s">
        <v>23</v>
      </c>
      <c r="T280" t="s">
        <v>24</v>
      </c>
      <c r="U280" t="s">
        <v>24</v>
      </c>
      <c r="V280" t="s">
        <v>29</v>
      </c>
    </row>
    <row r="281" spans="1:22">
      <c r="A281" t="s">
        <v>317</v>
      </c>
      <c r="B281" s="21">
        <v>50</v>
      </c>
      <c r="C281" s="21">
        <v>65990</v>
      </c>
      <c r="D281" s="21">
        <v>622</v>
      </c>
      <c r="E281" t="str">
        <f>VLOOKUP(Table13[[#This Row],[Credit_Score]],Table4[],2,TRUE)</f>
        <v>Medium Risk</v>
      </c>
      <c r="F281">
        <v>0.63434945821545796</v>
      </c>
      <c r="G281" t="str">
        <f>IF(Table13[[#This Row],[Credit_Utilization]]&lt;0.3,"Low Utilization",
IF(Table13[[#This Row],[Credit_Utilization]]&lt;0.7,"Moderate Utilization",
"High Utilization"))</f>
        <v>Moderate Utilization</v>
      </c>
      <c r="H281" s="21">
        <v>2</v>
      </c>
      <c r="I281" s="21">
        <v>0</v>
      </c>
      <c r="J281" s="21">
        <v>99005</v>
      </c>
      <c r="K281">
        <v>0.320299211293607</v>
      </c>
      <c r="L281" t="str">
        <f>IF(Table13[[#This Row],[Debt_to_Income_Ratio]]&lt;0.3,"Low DTI", IF(Table13[[#This Row],[Debt_to_Income_Ratio]]&lt;0.5,"Moderate DTI", "High DTI"))</f>
        <v>Moderate DTI</v>
      </c>
      <c r="M281" t="s">
        <v>43</v>
      </c>
      <c r="N281" s="21">
        <v>18</v>
      </c>
      <c r="O281" t="s">
        <v>21</v>
      </c>
      <c r="P281" t="s">
        <v>22</v>
      </c>
      <c r="Q281" t="s">
        <v>24</v>
      </c>
      <c r="R281" t="s">
        <v>24</v>
      </c>
      <c r="S281" t="s">
        <v>24</v>
      </c>
      <c r="T281" t="s">
        <v>24</v>
      </c>
      <c r="U281" t="s">
        <v>23</v>
      </c>
      <c r="V281" t="s">
        <v>24</v>
      </c>
    </row>
    <row r="282" spans="1:22">
      <c r="A282" t="s">
        <v>318</v>
      </c>
      <c r="B282" s="21">
        <v>26</v>
      </c>
      <c r="C282" s="21">
        <v>42350</v>
      </c>
      <c r="D282" s="21">
        <v>825</v>
      </c>
      <c r="E282" t="str">
        <f>VLOOKUP(Table13[[#This Row],[Credit_Score]],Table4[],2,TRUE)</f>
        <v>Low Risk</v>
      </c>
      <c r="F282">
        <v>0.57878239464723003</v>
      </c>
      <c r="G282" t="str">
        <f>IF(Table13[[#This Row],[Credit_Utilization]]&lt;0.3,"Low Utilization",
IF(Table13[[#This Row],[Credit_Utilization]]&lt;0.7,"Moderate Utilization",
"High Utilization"))</f>
        <v>Moderate Utilization</v>
      </c>
      <c r="H282" s="21">
        <v>1</v>
      </c>
      <c r="I282" s="21">
        <v>0</v>
      </c>
      <c r="J282" s="21">
        <v>46813</v>
      </c>
      <c r="K282">
        <v>0.31531225625910703</v>
      </c>
      <c r="L282" t="str">
        <f>IF(Table13[[#This Row],[Debt_to_Income_Ratio]]&lt;0.3,"Low DTI", IF(Table13[[#This Row],[Debt_to_Income_Ratio]]&lt;0.5,"Moderate DTI", "High DTI"))</f>
        <v>Moderate DTI</v>
      </c>
      <c r="M282" t="s">
        <v>43</v>
      </c>
      <c r="N282" s="21">
        <v>1</v>
      </c>
      <c r="O282" t="s">
        <v>37</v>
      </c>
      <c r="P282" t="s">
        <v>28</v>
      </c>
      <c r="Q282" t="s">
        <v>23</v>
      </c>
      <c r="R282" t="s">
        <v>23</v>
      </c>
      <c r="S282" t="s">
        <v>23</v>
      </c>
      <c r="T282" t="s">
        <v>24</v>
      </c>
      <c r="U282" t="s">
        <v>24</v>
      </c>
      <c r="V282" t="s">
        <v>23</v>
      </c>
    </row>
    <row r="283" spans="1:22">
      <c r="A283" t="s">
        <v>319</v>
      </c>
      <c r="B283" s="21">
        <v>23</v>
      </c>
      <c r="C283" s="21">
        <v>42350</v>
      </c>
      <c r="D283" s="21">
        <v>823</v>
      </c>
      <c r="E283" t="str">
        <f>VLOOKUP(Table13[[#This Row],[Credit_Score]],Table4[],2,TRUE)</f>
        <v>Low Risk</v>
      </c>
      <c r="F283">
        <v>0.324994918468751</v>
      </c>
      <c r="G283" t="str">
        <f>IF(Table13[[#This Row],[Credit_Utilization]]&lt;0.3,"Low Utilization",
IF(Table13[[#This Row],[Credit_Utilization]]&lt;0.7,"Moderate Utilization",
"High Utilization"))</f>
        <v>Moderate Utilization</v>
      </c>
      <c r="H283" s="21">
        <v>3</v>
      </c>
      <c r="I283" s="21">
        <v>1</v>
      </c>
      <c r="J283" s="21">
        <v>45776</v>
      </c>
      <c r="K283">
        <v>0.39907082537035099</v>
      </c>
      <c r="L283" t="str">
        <f>IF(Table13[[#This Row],[Debt_to_Income_Ratio]]&lt;0.3,"Low DTI", IF(Table13[[#This Row],[Debt_to_Income_Ratio]]&lt;0.5,"Moderate DTI", "High DTI"))</f>
        <v>Moderate DTI</v>
      </c>
      <c r="M283" t="s">
        <v>34</v>
      </c>
      <c r="N283" s="21">
        <v>3</v>
      </c>
      <c r="O283" t="s">
        <v>45</v>
      </c>
      <c r="P283" t="s">
        <v>22</v>
      </c>
      <c r="Q283" t="s">
        <v>29</v>
      </c>
      <c r="R283" t="s">
        <v>24</v>
      </c>
      <c r="S283" t="s">
        <v>24</v>
      </c>
      <c r="T283" t="s">
        <v>23</v>
      </c>
      <c r="U283" t="s">
        <v>23</v>
      </c>
      <c r="V283" t="s">
        <v>24</v>
      </c>
    </row>
    <row r="284" spans="1:22">
      <c r="A284" t="s">
        <v>320</v>
      </c>
      <c r="B284" s="21">
        <v>33</v>
      </c>
      <c r="C284" s="21">
        <v>116570</v>
      </c>
      <c r="D284" s="21">
        <v>452</v>
      </c>
      <c r="E284" t="str">
        <f>VLOOKUP(Table13[[#This Row],[Credit_Score]],Table4[],2,TRUE)</f>
        <v>High Risk</v>
      </c>
      <c r="F284">
        <v>0.416761199453971</v>
      </c>
      <c r="G284" t="str">
        <f>IF(Table13[[#This Row],[Credit_Utilization]]&lt;0.3,"Low Utilization",
IF(Table13[[#This Row],[Credit_Utilization]]&lt;0.7,"Moderate Utilization",
"High Utilization"))</f>
        <v>Moderate Utilization</v>
      </c>
      <c r="H284" s="21">
        <v>2</v>
      </c>
      <c r="I284" s="21">
        <v>0</v>
      </c>
      <c r="J284" s="21">
        <v>50989</v>
      </c>
      <c r="K284">
        <v>0.353813296456846</v>
      </c>
      <c r="L284" t="str">
        <f>IF(Table13[[#This Row],[Debt_to_Income_Ratio]]&lt;0.3,"Low DTI", IF(Table13[[#This Row],[Debt_to_Income_Ratio]]&lt;0.5,"Moderate DTI", "High DTI"))</f>
        <v>Moderate DTI</v>
      </c>
      <c r="M284" t="s">
        <v>43</v>
      </c>
      <c r="N284" s="21">
        <v>2</v>
      </c>
      <c r="O284" t="s">
        <v>45</v>
      </c>
      <c r="P284" t="s">
        <v>32</v>
      </c>
      <c r="Q284" t="s">
        <v>24</v>
      </c>
      <c r="R284" t="s">
        <v>29</v>
      </c>
      <c r="S284" t="s">
        <v>24</v>
      </c>
      <c r="T284" t="s">
        <v>29</v>
      </c>
      <c r="U284" t="s">
        <v>23</v>
      </c>
      <c r="V284" t="s">
        <v>24</v>
      </c>
    </row>
    <row r="285" spans="1:22">
      <c r="A285" t="s">
        <v>321</v>
      </c>
      <c r="B285" s="21">
        <v>46</v>
      </c>
      <c r="C285" s="21">
        <v>159572</v>
      </c>
      <c r="D285" s="21">
        <v>724</v>
      </c>
      <c r="E285" t="str">
        <f>VLOOKUP(Table13[[#This Row],[Credit_Score]],Table4[],2,TRUE)</f>
        <v>Medium Risk</v>
      </c>
      <c r="F285">
        <v>0.26384358746993197</v>
      </c>
      <c r="G285" t="str">
        <f>IF(Table13[[#This Row],[Credit_Utilization]]&lt;0.3,"Low Utilization",
IF(Table13[[#This Row],[Credit_Utilization]]&lt;0.7,"Moderate Utilization",
"High Utilization"))</f>
        <v>Low Utilization</v>
      </c>
      <c r="H285" s="21">
        <v>4</v>
      </c>
      <c r="I285" s="21">
        <v>1</v>
      </c>
      <c r="J285" s="21">
        <v>74433</v>
      </c>
      <c r="K285">
        <v>0.38305079576600798</v>
      </c>
      <c r="L285" t="str">
        <f>IF(Table13[[#This Row],[Debt_to_Income_Ratio]]&lt;0.3,"Low DTI", IF(Table13[[#This Row],[Debt_to_Income_Ratio]]&lt;0.5,"Moderate DTI", "High DTI"))</f>
        <v>Moderate DTI</v>
      </c>
      <c r="M285" t="s">
        <v>43</v>
      </c>
      <c r="N285" s="21">
        <v>6</v>
      </c>
      <c r="O285" t="s">
        <v>45</v>
      </c>
      <c r="P285" t="s">
        <v>38</v>
      </c>
      <c r="Q285" t="s">
        <v>29</v>
      </c>
      <c r="R285" t="s">
        <v>29</v>
      </c>
      <c r="S285" t="s">
        <v>29</v>
      </c>
      <c r="T285" t="s">
        <v>29</v>
      </c>
      <c r="U285" t="s">
        <v>23</v>
      </c>
      <c r="V285" t="s">
        <v>24</v>
      </c>
    </row>
    <row r="286" spans="1:22">
      <c r="A286" t="s">
        <v>322</v>
      </c>
      <c r="B286" s="21">
        <v>20</v>
      </c>
      <c r="C286" s="21">
        <v>116570</v>
      </c>
      <c r="D286" s="21">
        <v>739</v>
      </c>
      <c r="E286" t="str">
        <f>VLOOKUP(Table13[[#This Row],[Credit_Score]],Table4[],2,TRUE)</f>
        <v>Medium Risk</v>
      </c>
      <c r="F286">
        <v>0.696096999904114</v>
      </c>
      <c r="G286" t="str">
        <f>IF(Table13[[#This Row],[Credit_Utilization]]&lt;0.3,"Low Utilization",
IF(Table13[[#This Row],[Credit_Utilization]]&lt;0.7,"Moderate Utilization",
"High Utilization"))</f>
        <v>Moderate Utilization</v>
      </c>
      <c r="H286" s="21">
        <v>6</v>
      </c>
      <c r="I286" s="21">
        <v>0</v>
      </c>
      <c r="J286" s="21">
        <v>52331</v>
      </c>
      <c r="K286">
        <v>0.19344653101030501</v>
      </c>
      <c r="L286" t="str">
        <f>IF(Table13[[#This Row],[Debt_to_Income_Ratio]]&lt;0.3,"Low DTI", IF(Table13[[#This Row],[Debt_to_Income_Ratio]]&lt;0.5,"Moderate DTI", "High DTI"))</f>
        <v>Low DTI</v>
      </c>
      <c r="M286" t="s">
        <v>50</v>
      </c>
      <c r="N286" s="21">
        <v>17</v>
      </c>
      <c r="O286" t="s">
        <v>45</v>
      </c>
      <c r="P286" t="s">
        <v>28</v>
      </c>
      <c r="Q286" t="s">
        <v>23</v>
      </c>
      <c r="R286" t="s">
        <v>23</v>
      </c>
      <c r="S286" t="s">
        <v>29</v>
      </c>
      <c r="T286" t="s">
        <v>23</v>
      </c>
      <c r="U286" t="s">
        <v>23</v>
      </c>
      <c r="V286" t="s">
        <v>24</v>
      </c>
    </row>
    <row r="287" spans="1:22">
      <c r="A287" t="s">
        <v>323</v>
      </c>
      <c r="B287" s="21">
        <v>37</v>
      </c>
      <c r="C287" s="21">
        <v>190333</v>
      </c>
      <c r="D287" s="21">
        <v>700</v>
      </c>
      <c r="E287" t="str">
        <f>VLOOKUP(Table13[[#This Row],[Credit_Score]],Table4[],2,TRUE)</f>
        <v>Medium Risk</v>
      </c>
      <c r="F287">
        <v>0.44882372846589302</v>
      </c>
      <c r="G287" t="str">
        <f>IF(Table13[[#This Row],[Credit_Utilization]]&lt;0.3,"Low Utilization",
IF(Table13[[#This Row],[Credit_Utilization]]&lt;0.7,"Moderate Utilization",
"High Utilization"))</f>
        <v>Moderate Utilization</v>
      </c>
      <c r="H287" s="21">
        <v>0</v>
      </c>
      <c r="I287" s="21">
        <v>0</v>
      </c>
      <c r="J287" s="21">
        <v>41958</v>
      </c>
      <c r="K287">
        <v>0.41931708649751398</v>
      </c>
      <c r="L287" t="str">
        <f>IF(Table13[[#This Row],[Debt_to_Income_Ratio]]&lt;0.3,"Low DTI", IF(Table13[[#This Row],[Debt_to_Income_Ratio]]&lt;0.5,"Moderate DTI", "High DTI"))</f>
        <v>Moderate DTI</v>
      </c>
      <c r="M287" t="s">
        <v>43</v>
      </c>
      <c r="N287" s="21">
        <v>9</v>
      </c>
      <c r="O287" t="s">
        <v>45</v>
      </c>
      <c r="P287" t="s">
        <v>28</v>
      </c>
      <c r="Q287" t="s">
        <v>23</v>
      </c>
      <c r="R287" t="s">
        <v>24</v>
      </c>
      <c r="S287" t="s">
        <v>29</v>
      </c>
      <c r="T287" t="s">
        <v>29</v>
      </c>
      <c r="U287" t="s">
        <v>23</v>
      </c>
      <c r="V287" t="s">
        <v>29</v>
      </c>
    </row>
    <row r="288" spans="1:22">
      <c r="A288" t="s">
        <v>324</v>
      </c>
      <c r="B288" s="21">
        <v>53</v>
      </c>
      <c r="C288" s="21">
        <v>32955</v>
      </c>
      <c r="D288" s="21">
        <v>482</v>
      </c>
      <c r="E288" t="str">
        <f>VLOOKUP(Table13[[#This Row],[Credit_Score]],Table4[],2,TRUE)</f>
        <v>High Risk</v>
      </c>
      <c r="F288">
        <v>0.85843118215212599</v>
      </c>
      <c r="G288" t="str">
        <f>IF(Table13[[#This Row],[Credit_Utilization]]&lt;0.3,"Low Utilization",
IF(Table13[[#This Row],[Credit_Utilization]]&lt;0.7,"Moderate Utilization",
"High Utilization"))</f>
        <v>High Utilization</v>
      </c>
      <c r="H288" s="21">
        <v>4</v>
      </c>
      <c r="I288" s="21">
        <v>1</v>
      </c>
      <c r="J288" s="21">
        <v>45089</v>
      </c>
      <c r="K288">
        <v>0.22776372605110001</v>
      </c>
      <c r="L288" t="str">
        <f>IF(Table13[[#This Row],[Debt_to_Income_Ratio]]&lt;0.3,"Low DTI", IF(Table13[[#This Row],[Debt_to_Income_Ratio]]&lt;0.5,"Moderate DTI", "High DTI"))</f>
        <v>Low DTI</v>
      </c>
      <c r="M288" t="s">
        <v>43</v>
      </c>
      <c r="N288" s="21">
        <v>6</v>
      </c>
      <c r="O288" t="s">
        <v>45</v>
      </c>
      <c r="P288" t="s">
        <v>22</v>
      </c>
      <c r="Q288" t="s">
        <v>24</v>
      </c>
      <c r="R288" t="s">
        <v>24</v>
      </c>
      <c r="S288" t="s">
        <v>23</v>
      </c>
      <c r="T288" t="s">
        <v>23</v>
      </c>
      <c r="U288" t="s">
        <v>23</v>
      </c>
      <c r="V288" t="s">
        <v>24</v>
      </c>
    </row>
    <row r="289" spans="1:22">
      <c r="A289" t="s">
        <v>325</v>
      </c>
      <c r="B289" s="21">
        <v>36</v>
      </c>
      <c r="C289" s="21">
        <v>141131</v>
      </c>
      <c r="D289" s="21">
        <v>385</v>
      </c>
      <c r="E289" t="str">
        <f>VLOOKUP(Table13[[#This Row],[Credit_Score]],Table4[],2,TRUE)</f>
        <v>High Risk</v>
      </c>
      <c r="F289">
        <v>0.51622004880800398</v>
      </c>
      <c r="G289" t="str">
        <f>IF(Table13[[#This Row],[Credit_Utilization]]&lt;0.3,"Low Utilization",
IF(Table13[[#This Row],[Credit_Utilization]]&lt;0.7,"Moderate Utilization",
"High Utilization"))</f>
        <v>Moderate Utilization</v>
      </c>
      <c r="H289" s="21">
        <v>5</v>
      </c>
      <c r="I289" s="21">
        <v>0</v>
      </c>
      <c r="J289" s="21">
        <v>63375</v>
      </c>
      <c r="K289">
        <v>0.23351304573760101</v>
      </c>
      <c r="L289" t="str">
        <f>IF(Table13[[#This Row],[Debt_to_Income_Ratio]]&lt;0.3,"Low DTI", IF(Table13[[#This Row],[Debt_to_Income_Ratio]]&lt;0.5,"Moderate DTI", "High DTI"))</f>
        <v>Low DTI</v>
      </c>
      <c r="M289" t="s">
        <v>43</v>
      </c>
      <c r="N289" s="21">
        <v>7</v>
      </c>
      <c r="O289" t="s">
        <v>27</v>
      </c>
      <c r="P289" t="s">
        <v>32</v>
      </c>
      <c r="Q289" t="s">
        <v>29</v>
      </c>
      <c r="R289" t="s">
        <v>24</v>
      </c>
      <c r="S289" t="s">
        <v>23</v>
      </c>
      <c r="T289" t="s">
        <v>29</v>
      </c>
      <c r="U289" t="s">
        <v>29</v>
      </c>
      <c r="V289" t="s">
        <v>29</v>
      </c>
    </row>
    <row r="290" spans="1:22">
      <c r="A290" t="s">
        <v>326</v>
      </c>
      <c r="B290" s="21">
        <v>43</v>
      </c>
      <c r="C290" s="21">
        <v>68682</v>
      </c>
      <c r="D290" s="21">
        <v>579</v>
      </c>
      <c r="E290" t="str">
        <f>VLOOKUP(Table13[[#This Row],[Credit_Score]],Table4[],2,TRUE)</f>
        <v>High Risk</v>
      </c>
      <c r="F290">
        <v>0.456051939319424</v>
      </c>
      <c r="G290" t="str">
        <f>IF(Table13[[#This Row],[Credit_Utilization]]&lt;0.3,"Low Utilization",
IF(Table13[[#This Row],[Credit_Utilization]]&lt;0.7,"Moderate Utilization",
"High Utilization"))</f>
        <v>Moderate Utilization</v>
      </c>
      <c r="H290" s="21">
        <v>1</v>
      </c>
      <c r="I290" s="21">
        <v>0</v>
      </c>
      <c r="J290" s="21">
        <v>86965</v>
      </c>
      <c r="K290">
        <v>0.32708425773529898</v>
      </c>
      <c r="L290" t="str">
        <f>IF(Table13[[#This Row],[Debt_to_Income_Ratio]]&lt;0.3,"Low DTI", IF(Table13[[#This Row],[Debt_to_Income_Ratio]]&lt;0.5,"Moderate DTI", "High DTI"))</f>
        <v>Moderate DTI</v>
      </c>
      <c r="M290" t="s">
        <v>50</v>
      </c>
      <c r="N290" s="21">
        <v>5</v>
      </c>
      <c r="O290" t="s">
        <v>31</v>
      </c>
      <c r="P290" t="s">
        <v>53</v>
      </c>
      <c r="Q290" t="s">
        <v>24</v>
      </c>
      <c r="R290" t="s">
        <v>29</v>
      </c>
      <c r="S290" t="s">
        <v>23</v>
      </c>
      <c r="T290" t="s">
        <v>23</v>
      </c>
      <c r="U290" t="s">
        <v>29</v>
      </c>
      <c r="V290" t="s">
        <v>24</v>
      </c>
    </row>
    <row r="291" spans="1:22">
      <c r="A291" t="s">
        <v>327</v>
      </c>
      <c r="B291" s="21">
        <v>20</v>
      </c>
      <c r="C291" s="21">
        <v>16062</v>
      </c>
      <c r="D291" s="21">
        <v>658</v>
      </c>
      <c r="E291" t="str">
        <f>VLOOKUP(Table13[[#This Row],[Credit_Score]],Table4[],2,TRUE)</f>
        <v>Medium Risk</v>
      </c>
      <c r="F291">
        <v>0.43663564774163999</v>
      </c>
      <c r="G291" t="str">
        <f>IF(Table13[[#This Row],[Credit_Utilization]]&lt;0.3,"Low Utilization",
IF(Table13[[#This Row],[Credit_Utilization]]&lt;0.7,"Moderate Utilization",
"High Utilization"))</f>
        <v>Moderate Utilization</v>
      </c>
      <c r="H291" s="21">
        <v>5</v>
      </c>
      <c r="I291" s="21">
        <v>0</v>
      </c>
      <c r="J291" s="21">
        <v>67673</v>
      </c>
      <c r="K291">
        <v>0.33019182630492699</v>
      </c>
      <c r="L291" t="str">
        <f>IF(Table13[[#This Row],[Debt_to_Income_Ratio]]&lt;0.3,"Low DTI", IF(Table13[[#This Row],[Debt_to_Income_Ratio]]&lt;0.5,"Moderate DTI", "High DTI"))</f>
        <v>Moderate DTI</v>
      </c>
      <c r="M291" t="s">
        <v>26</v>
      </c>
      <c r="N291" s="21">
        <v>0</v>
      </c>
      <c r="O291" t="s">
        <v>45</v>
      </c>
      <c r="P291" t="s">
        <v>32</v>
      </c>
      <c r="Q291" t="s">
        <v>23</v>
      </c>
      <c r="R291" t="s">
        <v>29</v>
      </c>
      <c r="S291" t="s">
        <v>29</v>
      </c>
      <c r="T291" t="s">
        <v>24</v>
      </c>
      <c r="U291" t="s">
        <v>23</v>
      </c>
      <c r="V291" t="s">
        <v>29</v>
      </c>
    </row>
    <row r="292" spans="1:22">
      <c r="A292" t="s">
        <v>328</v>
      </c>
      <c r="B292" s="21">
        <v>36</v>
      </c>
      <c r="C292" s="21">
        <v>107658</v>
      </c>
      <c r="D292" s="21">
        <v>836</v>
      </c>
      <c r="E292" t="str">
        <f>VLOOKUP(Table13[[#This Row],[Credit_Score]],Table4[],2,TRUE)</f>
        <v>Low Risk</v>
      </c>
      <c r="F292">
        <v>0.45116003296151402</v>
      </c>
      <c r="G292" t="str">
        <f>IF(Table13[[#This Row],[Credit_Utilization]]&lt;0.3,"Low Utilization",
IF(Table13[[#This Row],[Credit_Utilization]]&lt;0.7,"Moderate Utilization",
"High Utilization"))</f>
        <v>Moderate Utilization</v>
      </c>
      <c r="H292" s="21">
        <v>3</v>
      </c>
      <c r="I292" s="21">
        <v>0</v>
      </c>
      <c r="J292" s="21">
        <v>70406</v>
      </c>
      <c r="K292">
        <v>0.19281431977675201</v>
      </c>
      <c r="L292" t="str">
        <f>IF(Table13[[#This Row],[Debt_to_Income_Ratio]]&lt;0.3,"Low DTI", IF(Table13[[#This Row],[Debt_to_Income_Ratio]]&lt;0.5,"Moderate DTI", "High DTI"))</f>
        <v>Low DTI</v>
      </c>
      <c r="M292" t="s">
        <v>43</v>
      </c>
      <c r="N292" s="21">
        <v>3</v>
      </c>
      <c r="O292" t="s">
        <v>31</v>
      </c>
      <c r="P292" t="s">
        <v>28</v>
      </c>
      <c r="Q292" t="s">
        <v>23</v>
      </c>
      <c r="R292" t="s">
        <v>23</v>
      </c>
      <c r="S292" t="s">
        <v>23</v>
      </c>
      <c r="T292" t="s">
        <v>23</v>
      </c>
      <c r="U292" t="s">
        <v>23</v>
      </c>
      <c r="V292" t="s">
        <v>23</v>
      </c>
    </row>
    <row r="293" spans="1:22">
      <c r="A293" t="s">
        <v>329</v>
      </c>
      <c r="B293" s="21">
        <v>37</v>
      </c>
      <c r="C293" s="21">
        <v>155734</v>
      </c>
      <c r="D293" s="21">
        <v>315</v>
      </c>
      <c r="E293" t="str">
        <f>VLOOKUP(Table13[[#This Row],[Credit_Score]],Table4[],2,TRUE)</f>
        <v>High Risk</v>
      </c>
      <c r="F293">
        <v>0.52216421902676002</v>
      </c>
      <c r="G293" t="str">
        <f>IF(Table13[[#This Row],[Credit_Utilization]]&lt;0.3,"Low Utilization",
IF(Table13[[#This Row],[Credit_Utilization]]&lt;0.7,"Moderate Utilization",
"High Utilization"))</f>
        <v>Moderate Utilization</v>
      </c>
      <c r="H293" s="21">
        <v>3</v>
      </c>
      <c r="I293" s="21">
        <v>0</v>
      </c>
      <c r="J293" s="21">
        <v>84521</v>
      </c>
      <c r="K293">
        <v>0.28267207082260998</v>
      </c>
      <c r="L293" t="str">
        <f>IF(Table13[[#This Row],[Debt_to_Income_Ratio]]&lt;0.3,"Low DTI", IF(Table13[[#This Row],[Debt_to_Income_Ratio]]&lt;0.5,"Moderate DTI", "High DTI"))</f>
        <v>Low DTI</v>
      </c>
      <c r="M293" t="s">
        <v>50</v>
      </c>
      <c r="N293" s="21">
        <v>13</v>
      </c>
      <c r="O293" t="s">
        <v>45</v>
      </c>
      <c r="P293" t="s">
        <v>53</v>
      </c>
      <c r="Q293" t="s">
        <v>24</v>
      </c>
      <c r="R293" t="s">
        <v>23</v>
      </c>
      <c r="S293" t="s">
        <v>24</v>
      </c>
      <c r="T293" t="s">
        <v>29</v>
      </c>
      <c r="U293" t="s">
        <v>24</v>
      </c>
      <c r="V293" t="s">
        <v>24</v>
      </c>
    </row>
    <row r="294" spans="1:22">
      <c r="A294" t="s">
        <v>330</v>
      </c>
      <c r="B294" s="21">
        <v>49</v>
      </c>
      <c r="C294" s="21">
        <v>38061</v>
      </c>
      <c r="D294" s="21">
        <v>316</v>
      </c>
      <c r="E294" t="str">
        <f>VLOOKUP(Table13[[#This Row],[Credit_Score]],Table4[],2,TRUE)</f>
        <v>High Risk</v>
      </c>
      <c r="F294">
        <v>1.0024815153156601</v>
      </c>
      <c r="G294" t="str">
        <f>IF(Table13[[#This Row],[Credit_Utilization]]&lt;0.3,"Low Utilization",
IF(Table13[[#This Row],[Credit_Utilization]]&lt;0.7,"Moderate Utilization",
"High Utilization"))</f>
        <v>High Utilization</v>
      </c>
      <c r="H294" s="21">
        <v>1</v>
      </c>
      <c r="I294" s="21">
        <v>0</v>
      </c>
      <c r="J294" s="21">
        <v>95267</v>
      </c>
      <c r="K294">
        <v>0.448823531686947</v>
      </c>
      <c r="L294" t="str">
        <f>IF(Table13[[#This Row],[Debt_to_Income_Ratio]]&lt;0.3,"Low DTI", IF(Table13[[#This Row],[Debt_to_Income_Ratio]]&lt;0.5,"Moderate DTI", "High DTI"))</f>
        <v>Moderate DTI</v>
      </c>
      <c r="M294" t="s">
        <v>43</v>
      </c>
      <c r="N294" s="21">
        <v>16</v>
      </c>
      <c r="O294" t="s">
        <v>21</v>
      </c>
      <c r="P294" t="s">
        <v>32</v>
      </c>
      <c r="Q294" t="s">
        <v>23</v>
      </c>
      <c r="R294" t="s">
        <v>23</v>
      </c>
      <c r="S294" t="s">
        <v>23</v>
      </c>
      <c r="T294" t="s">
        <v>23</v>
      </c>
      <c r="U294" t="s">
        <v>24</v>
      </c>
      <c r="V294" t="s">
        <v>24</v>
      </c>
    </row>
    <row r="295" spans="1:22">
      <c r="A295" t="s">
        <v>331</v>
      </c>
      <c r="B295" s="21">
        <v>24</v>
      </c>
      <c r="C295" s="21">
        <v>107658</v>
      </c>
      <c r="D295" s="21">
        <v>436</v>
      </c>
      <c r="E295" t="str">
        <f>VLOOKUP(Table13[[#This Row],[Credit_Score]],Table4[],2,TRUE)</f>
        <v>High Risk</v>
      </c>
      <c r="F295">
        <v>0.43222806598012797</v>
      </c>
      <c r="G295" t="str">
        <f>IF(Table13[[#This Row],[Credit_Utilization]]&lt;0.3,"Low Utilization",
IF(Table13[[#This Row],[Credit_Utilization]]&lt;0.7,"Moderate Utilization",
"High Utilization"))</f>
        <v>Moderate Utilization</v>
      </c>
      <c r="H295" s="21">
        <v>2</v>
      </c>
      <c r="I295" s="21">
        <v>0</v>
      </c>
      <c r="J295" s="21">
        <v>45595</v>
      </c>
      <c r="K295">
        <v>0.15316634384659</v>
      </c>
      <c r="L295" t="str">
        <f>IF(Table13[[#This Row],[Debt_to_Income_Ratio]]&lt;0.3,"Low DTI", IF(Table13[[#This Row],[Debt_to_Income_Ratio]]&lt;0.5,"Moderate DTI", "High DTI"))</f>
        <v>Low DTI</v>
      </c>
      <c r="M295" t="s">
        <v>43</v>
      </c>
      <c r="N295" s="21">
        <v>19</v>
      </c>
      <c r="O295" t="s">
        <v>45</v>
      </c>
      <c r="P295" t="s">
        <v>38</v>
      </c>
      <c r="Q295" t="s">
        <v>23</v>
      </c>
      <c r="R295" t="s">
        <v>23</v>
      </c>
      <c r="S295" t="s">
        <v>29</v>
      </c>
      <c r="T295" t="s">
        <v>24</v>
      </c>
      <c r="U295" t="s">
        <v>29</v>
      </c>
      <c r="V295" t="s">
        <v>24</v>
      </c>
    </row>
    <row r="296" spans="1:22">
      <c r="A296" t="s">
        <v>332</v>
      </c>
      <c r="B296" s="21">
        <v>69</v>
      </c>
      <c r="C296" s="21">
        <v>43251</v>
      </c>
      <c r="D296" s="21">
        <v>515</v>
      </c>
      <c r="E296" t="str">
        <f>VLOOKUP(Table13[[#This Row],[Credit_Score]],Table4[],2,TRUE)</f>
        <v>High Risk</v>
      </c>
      <c r="F296">
        <v>0.43872930784573799</v>
      </c>
      <c r="G296" t="str">
        <f>IF(Table13[[#This Row],[Credit_Utilization]]&lt;0.3,"Low Utilization",
IF(Table13[[#This Row],[Credit_Utilization]]&lt;0.7,"Moderate Utilization",
"High Utilization"))</f>
        <v>Moderate Utilization</v>
      </c>
      <c r="H296" s="21">
        <v>2</v>
      </c>
      <c r="I296" s="21">
        <v>1</v>
      </c>
      <c r="J296" s="21">
        <v>52331</v>
      </c>
      <c r="K296">
        <v>0.44852192410127201</v>
      </c>
      <c r="L296" t="str">
        <f>IF(Table13[[#This Row],[Debt_to_Income_Ratio]]&lt;0.3,"Low DTI", IF(Table13[[#This Row],[Debt_to_Income_Ratio]]&lt;0.5,"Moderate DTI", "High DTI"))</f>
        <v>Moderate DTI</v>
      </c>
      <c r="M296" t="s">
        <v>43</v>
      </c>
      <c r="N296" s="21">
        <v>17</v>
      </c>
      <c r="O296" t="s">
        <v>37</v>
      </c>
      <c r="P296" t="s">
        <v>22</v>
      </c>
      <c r="Q296" t="s">
        <v>24</v>
      </c>
      <c r="R296" t="s">
        <v>24</v>
      </c>
      <c r="S296" t="s">
        <v>29</v>
      </c>
      <c r="T296" t="s">
        <v>23</v>
      </c>
      <c r="U296" t="s">
        <v>23</v>
      </c>
      <c r="V296" t="s">
        <v>29</v>
      </c>
    </row>
    <row r="297" spans="1:22">
      <c r="A297" t="s">
        <v>333</v>
      </c>
      <c r="B297" s="21">
        <v>58</v>
      </c>
      <c r="C297" s="21">
        <v>90353</v>
      </c>
      <c r="D297" s="21">
        <v>658</v>
      </c>
      <c r="E297" t="str">
        <f>VLOOKUP(Table13[[#This Row],[Credit_Score]],Table4[],2,TRUE)</f>
        <v>Medium Risk</v>
      </c>
      <c r="F297">
        <v>0.51311876913663501</v>
      </c>
      <c r="G297" t="str">
        <f>IF(Table13[[#This Row],[Credit_Utilization]]&lt;0.3,"Low Utilization",
IF(Table13[[#This Row],[Credit_Utilization]]&lt;0.7,"Moderate Utilization",
"High Utilization"))</f>
        <v>Moderate Utilization</v>
      </c>
      <c r="H297" s="21">
        <v>3</v>
      </c>
      <c r="I297" s="21">
        <v>0</v>
      </c>
      <c r="J297" s="21">
        <v>82714</v>
      </c>
      <c r="K297">
        <v>0.275830154858351</v>
      </c>
      <c r="L297" t="str">
        <f>IF(Table13[[#This Row],[Debt_to_Income_Ratio]]&lt;0.3,"Low DTI", IF(Table13[[#This Row],[Debt_to_Income_Ratio]]&lt;0.5,"Moderate DTI", "High DTI"))</f>
        <v>Low DTI</v>
      </c>
      <c r="M297" t="s">
        <v>43</v>
      </c>
      <c r="N297" s="21">
        <v>10</v>
      </c>
      <c r="O297" t="s">
        <v>27</v>
      </c>
      <c r="P297" t="s">
        <v>32</v>
      </c>
      <c r="Q297" t="s">
        <v>24</v>
      </c>
      <c r="R297" t="s">
        <v>24</v>
      </c>
      <c r="S297" t="s">
        <v>23</v>
      </c>
      <c r="T297" t="s">
        <v>24</v>
      </c>
      <c r="U297" t="s">
        <v>23</v>
      </c>
      <c r="V297" t="s">
        <v>24</v>
      </c>
    </row>
    <row r="298" spans="1:22">
      <c r="A298" t="s">
        <v>334</v>
      </c>
      <c r="B298" s="21">
        <v>50</v>
      </c>
      <c r="C298" s="21">
        <v>81234</v>
      </c>
      <c r="D298" s="21">
        <v>310</v>
      </c>
      <c r="E298" t="str">
        <f>VLOOKUP(Table13[[#This Row],[Credit_Score]],Table4[],2,TRUE)</f>
        <v>High Risk</v>
      </c>
      <c r="F298">
        <v>0.71805490126885196</v>
      </c>
      <c r="G298" t="str">
        <f>IF(Table13[[#This Row],[Credit_Utilization]]&lt;0.3,"Low Utilization",
IF(Table13[[#This Row],[Credit_Utilization]]&lt;0.7,"Moderate Utilization",
"High Utilization"))</f>
        <v>High Utilization</v>
      </c>
      <c r="H298" s="21">
        <v>3</v>
      </c>
      <c r="I298" s="21">
        <v>0</v>
      </c>
      <c r="J298" s="21">
        <v>79552</v>
      </c>
      <c r="K298">
        <v>0.1</v>
      </c>
      <c r="L298" t="str">
        <f>IF(Table13[[#This Row],[Debt_to_Income_Ratio]]&lt;0.3,"Low DTI", IF(Table13[[#This Row],[Debt_to_Income_Ratio]]&lt;0.5,"Moderate DTI", "High DTI"))</f>
        <v>Low DTI</v>
      </c>
      <c r="M298" t="s">
        <v>26</v>
      </c>
      <c r="N298" s="21">
        <v>13</v>
      </c>
      <c r="O298" t="s">
        <v>21</v>
      </c>
      <c r="P298" t="s">
        <v>32</v>
      </c>
      <c r="Q298" t="s">
        <v>29</v>
      </c>
      <c r="R298" t="s">
        <v>29</v>
      </c>
      <c r="S298" t="s">
        <v>29</v>
      </c>
      <c r="T298" t="s">
        <v>29</v>
      </c>
      <c r="U298" t="s">
        <v>24</v>
      </c>
      <c r="V298" t="s">
        <v>29</v>
      </c>
    </row>
    <row r="299" spans="1:22">
      <c r="A299" t="s">
        <v>335</v>
      </c>
      <c r="B299" s="21">
        <v>57</v>
      </c>
      <c r="C299" s="21">
        <v>19835</v>
      </c>
      <c r="D299" s="21">
        <v>793</v>
      </c>
      <c r="E299" t="str">
        <f>VLOOKUP(Table13[[#This Row],[Credit_Score]],Table4[],2,TRUE)</f>
        <v>Low Risk</v>
      </c>
      <c r="F299">
        <v>0.21580308778544399</v>
      </c>
      <c r="G299" t="str">
        <f>IF(Table13[[#This Row],[Credit_Utilization]]&lt;0.3,"Low Utilization",
IF(Table13[[#This Row],[Credit_Utilization]]&lt;0.7,"Moderate Utilization",
"High Utilization"))</f>
        <v>Low Utilization</v>
      </c>
      <c r="H299" s="21">
        <v>6</v>
      </c>
      <c r="I299" s="21">
        <v>0</v>
      </c>
      <c r="J299" s="21">
        <v>41653</v>
      </c>
      <c r="K299">
        <v>0.163326826651709</v>
      </c>
      <c r="L299" t="str">
        <f>IF(Table13[[#This Row],[Debt_to_Income_Ratio]]&lt;0.3,"Low DTI", IF(Table13[[#This Row],[Debt_to_Income_Ratio]]&lt;0.5,"Moderate DTI", "High DTI"))</f>
        <v>Low DTI</v>
      </c>
      <c r="M299" t="s">
        <v>34</v>
      </c>
      <c r="N299" s="21">
        <v>8</v>
      </c>
      <c r="O299" t="s">
        <v>21</v>
      </c>
      <c r="P299" t="s">
        <v>38</v>
      </c>
      <c r="Q299" t="s">
        <v>23</v>
      </c>
      <c r="R299" t="s">
        <v>29</v>
      </c>
      <c r="S299" t="s">
        <v>23</v>
      </c>
      <c r="T299" t="s">
        <v>29</v>
      </c>
      <c r="U299" t="s">
        <v>24</v>
      </c>
      <c r="V299" t="s">
        <v>24</v>
      </c>
    </row>
    <row r="300" spans="1:22">
      <c r="A300" t="s">
        <v>336</v>
      </c>
      <c r="B300" s="21">
        <v>56</v>
      </c>
      <c r="C300" s="21">
        <v>107658</v>
      </c>
      <c r="D300" s="21">
        <v>673</v>
      </c>
      <c r="E300" t="str">
        <f>VLOOKUP(Table13[[#This Row],[Credit_Score]],Table4[],2,TRUE)</f>
        <v>Medium Risk</v>
      </c>
      <c r="F300">
        <v>0.59101854738192905</v>
      </c>
      <c r="G300" t="str">
        <f>IF(Table13[[#This Row],[Credit_Utilization]]&lt;0.3,"Low Utilization",
IF(Table13[[#This Row],[Credit_Utilization]]&lt;0.7,"Moderate Utilization",
"High Utilization"))</f>
        <v>Moderate Utilization</v>
      </c>
      <c r="H300" s="21">
        <v>0</v>
      </c>
      <c r="I300" s="21">
        <v>1</v>
      </c>
      <c r="J300" s="21">
        <v>89660</v>
      </c>
      <c r="K300">
        <v>0.20365224622648001</v>
      </c>
      <c r="L300" t="str">
        <f>IF(Table13[[#This Row],[Debt_to_Income_Ratio]]&lt;0.3,"Low DTI", IF(Table13[[#This Row],[Debt_to_Income_Ratio]]&lt;0.5,"Moderate DTI", "High DTI"))</f>
        <v>Low DTI</v>
      </c>
      <c r="M300" t="s">
        <v>50</v>
      </c>
      <c r="N300" s="21">
        <v>14</v>
      </c>
      <c r="O300" t="s">
        <v>37</v>
      </c>
      <c r="P300" t="s">
        <v>28</v>
      </c>
      <c r="Q300" t="s">
        <v>23</v>
      </c>
      <c r="R300" t="s">
        <v>24</v>
      </c>
      <c r="S300" t="s">
        <v>29</v>
      </c>
      <c r="T300" t="s">
        <v>23</v>
      </c>
      <c r="U300" t="s">
        <v>24</v>
      </c>
      <c r="V300" t="s">
        <v>29</v>
      </c>
    </row>
    <row r="301" spans="1:22">
      <c r="A301" t="s">
        <v>337</v>
      </c>
      <c r="B301" s="21">
        <v>35</v>
      </c>
      <c r="C301" s="21">
        <v>107658</v>
      </c>
      <c r="D301" s="21">
        <v>321</v>
      </c>
      <c r="E301" t="str">
        <f>VLOOKUP(Table13[[#This Row],[Credit_Score]],Table4[],2,TRUE)</f>
        <v>High Risk</v>
      </c>
      <c r="F301">
        <v>0.33651496479576698</v>
      </c>
      <c r="G301" t="str">
        <f>IF(Table13[[#This Row],[Credit_Utilization]]&lt;0.3,"Low Utilization",
IF(Table13[[#This Row],[Credit_Utilization]]&lt;0.7,"Moderate Utilization",
"High Utilization"))</f>
        <v>Moderate Utilization</v>
      </c>
      <c r="H301" s="21">
        <v>6</v>
      </c>
      <c r="I301" s="21">
        <v>0</v>
      </c>
      <c r="J301" s="21">
        <v>62342</v>
      </c>
      <c r="K301">
        <v>0.23760706992172501</v>
      </c>
      <c r="L301" t="str">
        <f>IF(Table13[[#This Row],[Debt_to_Income_Ratio]]&lt;0.3,"Low DTI", IF(Table13[[#This Row],[Debt_to_Income_Ratio]]&lt;0.5,"Moderate DTI", "High DTI"))</f>
        <v>Low DTI</v>
      </c>
      <c r="M301" t="s">
        <v>43</v>
      </c>
      <c r="N301" s="21">
        <v>11</v>
      </c>
      <c r="O301" t="s">
        <v>45</v>
      </c>
      <c r="P301" t="s">
        <v>22</v>
      </c>
      <c r="Q301" t="s">
        <v>24</v>
      </c>
      <c r="R301" t="s">
        <v>23</v>
      </c>
      <c r="S301" t="s">
        <v>23</v>
      </c>
      <c r="T301" t="s">
        <v>23</v>
      </c>
      <c r="U301" t="s">
        <v>24</v>
      </c>
      <c r="V301" t="s">
        <v>29</v>
      </c>
    </row>
    <row r="302" spans="1:22">
      <c r="A302" t="s">
        <v>338</v>
      </c>
      <c r="B302" s="21">
        <v>57</v>
      </c>
      <c r="C302" s="21">
        <v>159188</v>
      </c>
      <c r="D302" s="21">
        <v>415</v>
      </c>
      <c r="E302" t="str">
        <f>VLOOKUP(Table13[[#This Row],[Credit_Score]],Table4[],2,TRUE)</f>
        <v>High Risk</v>
      </c>
      <c r="F302">
        <v>0.61065453779018897</v>
      </c>
      <c r="G302" t="str">
        <f>IF(Table13[[#This Row],[Credit_Utilization]]&lt;0.3,"Low Utilization",
IF(Table13[[#This Row],[Credit_Utilization]]&lt;0.7,"Moderate Utilization",
"High Utilization"))</f>
        <v>Moderate Utilization</v>
      </c>
      <c r="H302" s="21">
        <v>6</v>
      </c>
      <c r="I302" s="21">
        <v>0</v>
      </c>
      <c r="J302" s="21">
        <v>52259</v>
      </c>
      <c r="K302">
        <v>0.28952867413746602</v>
      </c>
      <c r="L302" t="str">
        <f>IF(Table13[[#This Row],[Debt_to_Income_Ratio]]&lt;0.3,"Low DTI", IF(Table13[[#This Row],[Debt_to_Income_Ratio]]&lt;0.5,"Moderate DTI", "High DTI"))</f>
        <v>Low DTI</v>
      </c>
      <c r="M302" t="s">
        <v>43</v>
      </c>
      <c r="N302" s="21">
        <v>9</v>
      </c>
      <c r="O302" t="s">
        <v>27</v>
      </c>
      <c r="P302" t="s">
        <v>32</v>
      </c>
      <c r="Q302" t="s">
        <v>24</v>
      </c>
      <c r="R302" t="s">
        <v>23</v>
      </c>
      <c r="S302" t="s">
        <v>23</v>
      </c>
      <c r="T302" t="s">
        <v>24</v>
      </c>
      <c r="U302" t="s">
        <v>29</v>
      </c>
      <c r="V302" t="s">
        <v>23</v>
      </c>
    </row>
    <row r="303" spans="1:22">
      <c r="A303" t="s">
        <v>339</v>
      </c>
      <c r="B303" s="21">
        <v>18</v>
      </c>
      <c r="C303" s="21">
        <v>70479</v>
      </c>
      <c r="D303" s="21">
        <v>834</v>
      </c>
      <c r="E303" t="str">
        <f>VLOOKUP(Table13[[#This Row],[Credit_Score]],Table4[],2,TRUE)</f>
        <v>Low Risk</v>
      </c>
      <c r="F303">
        <v>0.40124801152790801</v>
      </c>
      <c r="G303" t="str">
        <f>IF(Table13[[#This Row],[Credit_Utilization]]&lt;0.3,"Low Utilization",
IF(Table13[[#This Row],[Credit_Utilization]]&lt;0.7,"Moderate Utilization",
"High Utilization"))</f>
        <v>Moderate Utilization</v>
      </c>
      <c r="H303" s="21">
        <v>2</v>
      </c>
      <c r="I303" s="21">
        <v>0</v>
      </c>
      <c r="J303" s="21">
        <v>82789</v>
      </c>
      <c r="K303">
        <v>0.1</v>
      </c>
      <c r="L303" t="str">
        <f>IF(Table13[[#This Row],[Debt_to_Income_Ratio]]&lt;0.3,"Low DTI", IF(Table13[[#This Row],[Debt_to_Income_Ratio]]&lt;0.5,"Moderate DTI", "High DTI"))</f>
        <v>Low DTI</v>
      </c>
      <c r="M303" t="s">
        <v>26</v>
      </c>
      <c r="N303" s="21">
        <v>18</v>
      </c>
      <c r="O303" t="s">
        <v>21</v>
      </c>
      <c r="P303" t="s">
        <v>53</v>
      </c>
      <c r="Q303" t="s">
        <v>24</v>
      </c>
      <c r="R303" t="s">
        <v>23</v>
      </c>
      <c r="S303" t="s">
        <v>23</v>
      </c>
      <c r="T303" t="s">
        <v>23</v>
      </c>
      <c r="U303" t="s">
        <v>24</v>
      </c>
      <c r="V303" t="s">
        <v>23</v>
      </c>
    </row>
    <row r="304" spans="1:22">
      <c r="A304" t="s">
        <v>340</v>
      </c>
      <c r="B304" s="21">
        <v>28</v>
      </c>
      <c r="C304" s="21">
        <v>119573</v>
      </c>
      <c r="D304" s="21">
        <v>700</v>
      </c>
      <c r="E304" t="str">
        <f>VLOOKUP(Table13[[#This Row],[Credit_Score]],Table4[],2,TRUE)</f>
        <v>Medium Risk</v>
      </c>
      <c r="F304">
        <v>0.05</v>
      </c>
      <c r="G304" t="str">
        <f>IF(Table13[[#This Row],[Credit_Utilization]]&lt;0.3,"Low Utilization",
IF(Table13[[#This Row],[Credit_Utilization]]&lt;0.7,"Moderate Utilization",
"High Utilization"))</f>
        <v>Low Utilization</v>
      </c>
      <c r="H304" s="21">
        <v>1</v>
      </c>
      <c r="I304" s="21">
        <v>0</v>
      </c>
      <c r="J304" s="21">
        <v>52217</v>
      </c>
      <c r="K304">
        <v>0.31868043924776501</v>
      </c>
      <c r="L304" t="str">
        <f>IF(Table13[[#This Row],[Debt_to_Income_Ratio]]&lt;0.3,"Low DTI", IF(Table13[[#This Row],[Debt_to_Income_Ratio]]&lt;0.5,"Moderate DTI", "High DTI"))</f>
        <v>Moderate DTI</v>
      </c>
      <c r="M304" t="s">
        <v>43</v>
      </c>
      <c r="N304" s="21">
        <v>18</v>
      </c>
      <c r="O304" t="s">
        <v>27</v>
      </c>
      <c r="P304" t="s">
        <v>32</v>
      </c>
      <c r="Q304" t="s">
        <v>24</v>
      </c>
      <c r="R304" t="s">
        <v>23</v>
      </c>
      <c r="S304" t="s">
        <v>23</v>
      </c>
      <c r="T304" t="s">
        <v>24</v>
      </c>
      <c r="U304" t="s">
        <v>29</v>
      </c>
      <c r="V304" t="s">
        <v>24</v>
      </c>
    </row>
    <row r="305" spans="1:22">
      <c r="A305" t="s">
        <v>341</v>
      </c>
      <c r="B305" s="21">
        <v>45</v>
      </c>
      <c r="C305" s="21">
        <v>81234</v>
      </c>
      <c r="D305" s="21">
        <v>584</v>
      </c>
      <c r="E305" t="str">
        <f>VLOOKUP(Table13[[#This Row],[Credit_Score]],Table4[],2,TRUE)</f>
        <v>High Risk</v>
      </c>
      <c r="F305">
        <v>0.57391552053749695</v>
      </c>
      <c r="G305" t="str">
        <f>IF(Table13[[#This Row],[Credit_Utilization]]&lt;0.3,"Low Utilization",
IF(Table13[[#This Row],[Credit_Utilization]]&lt;0.7,"Moderate Utilization",
"High Utilization"))</f>
        <v>Moderate Utilization</v>
      </c>
      <c r="H305" s="21">
        <v>2</v>
      </c>
      <c r="I305" s="21">
        <v>0</v>
      </c>
      <c r="J305" s="21">
        <v>9859</v>
      </c>
      <c r="K305">
        <v>0.194490949167511</v>
      </c>
      <c r="L305" t="str">
        <f>IF(Table13[[#This Row],[Debt_to_Income_Ratio]]&lt;0.3,"Low DTI", IF(Table13[[#This Row],[Debt_to_Income_Ratio]]&lt;0.5,"Moderate DTI", "High DTI"))</f>
        <v>Low DTI</v>
      </c>
      <c r="M305" t="s">
        <v>43</v>
      </c>
      <c r="N305" s="21">
        <v>5</v>
      </c>
      <c r="O305" t="s">
        <v>21</v>
      </c>
      <c r="P305" t="s">
        <v>22</v>
      </c>
      <c r="Q305" t="s">
        <v>23</v>
      </c>
      <c r="R305" t="s">
        <v>23</v>
      </c>
      <c r="S305" t="s">
        <v>24</v>
      </c>
      <c r="T305" t="s">
        <v>24</v>
      </c>
      <c r="U305" t="s">
        <v>24</v>
      </c>
      <c r="V305" t="s">
        <v>23</v>
      </c>
    </row>
    <row r="306" spans="1:22">
      <c r="A306" t="s">
        <v>342</v>
      </c>
      <c r="B306" s="21">
        <v>74</v>
      </c>
      <c r="C306" s="21">
        <v>149415</v>
      </c>
      <c r="D306" s="21">
        <v>591</v>
      </c>
      <c r="E306" t="str">
        <f>VLOOKUP(Table13[[#This Row],[Credit_Score]],Table4[],2,TRUE)</f>
        <v>High Risk</v>
      </c>
      <c r="F306">
        <v>0.57222895406937302</v>
      </c>
      <c r="G306" t="str">
        <f>IF(Table13[[#This Row],[Credit_Utilization]]&lt;0.3,"Low Utilization",
IF(Table13[[#This Row],[Credit_Utilization]]&lt;0.7,"Moderate Utilization",
"High Utilization"))</f>
        <v>Moderate Utilization</v>
      </c>
      <c r="H306" s="21">
        <v>0</v>
      </c>
      <c r="I306" s="21">
        <v>0</v>
      </c>
      <c r="J306" s="21">
        <v>52217</v>
      </c>
      <c r="K306">
        <v>0.43905225716010499</v>
      </c>
      <c r="L306" t="str">
        <f>IF(Table13[[#This Row],[Debt_to_Income_Ratio]]&lt;0.3,"Low DTI", IF(Table13[[#This Row],[Debt_to_Income_Ratio]]&lt;0.5,"Moderate DTI", "High DTI"))</f>
        <v>Moderate DTI</v>
      </c>
      <c r="M306" t="s">
        <v>43</v>
      </c>
      <c r="N306" s="21">
        <v>19</v>
      </c>
      <c r="O306" t="s">
        <v>45</v>
      </c>
      <c r="P306" t="s">
        <v>32</v>
      </c>
      <c r="Q306" t="s">
        <v>23</v>
      </c>
      <c r="R306" t="s">
        <v>24</v>
      </c>
      <c r="S306" t="s">
        <v>29</v>
      </c>
      <c r="T306" t="s">
        <v>29</v>
      </c>
      <c r="U306" t="s">
        <v>29</v>
      </c>
      <c r="V306" t="s">
        <v>23</v>
      </c>
    </row>
    <row r="307" spans="1:22">
      <c r="A307" t="s">
        <v>343</v>
      </c>
      <c r="B307" s="21">
        <v>42</v>
      </c>
      <c r="C307" s="21">
        <v>136465</v>
      </c>
      <c r="D307" s="21">
        <v>595</v>
      </c>
      <c r="E307" t="str">
        <f>VLOOKUP(Table13[[#This Row],[Credit_Score]],Table4[],2,TRUE)</f>
        <v>High Risk</v>
      </c>
      <c r="F307">
        <v>0.38418393830411401</v>
      </c>
      <c r="G307" t="str">
        <f>IF(Table13[[#This Row],[Credit_Utilization]]&lt;0.3,"Low Utilization",
IF(Table13[[#This Row],[Credit_Utilization]]&lt;0.7,"Moderate Utilization",
"High Utilization"))</f>
        <v>Moderate Utilization</v>
      </c>
      <c r="H307" s="21">
        <v>5</v>
      </c>
      <c r="I307" s="21">
        <v>0</v>
      </c>
      <c r="J307" s="21">
        <v>75316</v>
      </c>
      <c r="K307">
        <v>0.27298232792560201</v>
      </c>
      <c r="L307" t="str">
        <f>IF(Table13[[#This Row],[Debt_to_Income_Ratio]]&lt;0.3,"Low DTI", IF(Table13[[#This Row],[Debt_to_Income_Ratio]]&lt;0.5,"Moderate DTI", "High DTI"))</f>
        <v>Low DTI</v>
      </c>
      <c r="M307" t="s">
        <v>43</v>
      </c>
      <c r="N307" s="21">
        <v>5</v>
      </c>
      <c r="O307" t="s">
        <v>21</v>
      </c>
      <c r="P307" t="s">
        <v>38</v>
      </c>
      <c r="Q307" t="s">
        <v>23</v>
      </c>
      <c r="R307" t="s">
        <v>23</v>
      </c>
      <c r="S307" t="s">
        <v>23</v>
      </c>
      <c r="T307" t="s">
        <v>29</v>
      </c>
      <c r="U307" t="s">
        <v>24</v>
      </c>
      <c r="V307" t="s">
        <v>29</v>
      </c>
    </row>
    <row r="308" spans="1:22">
      <c r="A308" t="s">
        <v>344</v>
      </c>
      <c r="B308" s="21">
        <v>67</v>
      </c>
      <c r="C308" s="21">
        <v>53494</v>
      </c>
      <c r="D308" s="21">
        <v>591</v>
      </c>
      <c r="E308" t="str">
        <f>VLOOKUP(Table13[[#This Row],[Credit_Score]],Table4[],2,TRUE)</f>
        <v>High Risk</v>
      </c>
      <c r="F308">
        <v>0.372331227971399</v>
      </c>
      <c r="G308" t="str">
        <f>IF(Table13[[#This Row],[Credit_Utilization]]&lt;0.3,"Low Utilization",
IF(Table13[[#This Row],[Credit_Utilization]]&lt;0.7,"Moderate Utilization",
"High Utilization"))</f>
        <v>Moderate Utilization</v>
      </c>
      <c r="H308" s="21">
        <v>3</v>
      </c>
      <c r="I308" s="21">
        <v>0</v>
      </c>
      <c r="J308" s="21">
        <v>12176</v>
      </c>
      <c r="K308">
        <v>0.39428461717327201</v>
      </c>
      <c r="L308" t="str">
        <f>IF(Table13[[#This Row],[Debt_to_Income_Ratio]]&lt;0.3,"Low DTI", IF(Table13[[#This Row],[Debt_to_Income_Ratio]]&lt;0.5,"Moderate DTI", "High DTI"))</f>
        <v>Moderate DTI</v>
      </c>
      <c r="M308" t="s">
        <v>26</v>
      </c>
      <c r="N308" s="21">
        <v>7</v>
      </c>
      <c r="O308" t="s">
        <v>21</v>
      </c>
      <c r="P308" t="s">
        <v>32</v>
      </c>
      <c r="Q308" t="s">
        <v>29</v>
      </c>
      <c r="R308" t="s">
        <v>29</v>
      </c>
      <c r="S308" t="s">
        <v>23</v>
      </c>
      <c r="T308" t="s">
        <v>24</v>
      </c>
      <c r="U308" t="s">
        <v>23</v>
      </c>
      <c r="V308" t="s">
        <v>29</v>
      </c>
    </row>
    <row r="309" spans="1:22">
      <c r="A309" t="s">
        <v>345</v>
      </c>
      <c r="B309" s="21">
        <v>40</v>
      </c>
      <c r="C309" s="21">
        <v>107658</v>
      </c>
      <c r="D309" s="21">
        <v>307</v>
      </c>
      <c r="E309" t="str">
        <f>VLOOKUP(Table13[[#This Row],[Credit_Score]],Table4[],2,TRUE)</f>
        <v>High Risk</v>
      </c>
      <c r="F309">
        <v>0.237725454982469</v>
      </c>
      <c r="G309" t="str">
        <f>IF(Table13[[#This Row],[Credit_Utilization]]&lt;0.3,"Low Utilization",
IF(Table13[[#This Row],[Credit_Utilization]]&lt;0.7,"Moderate Utilization",
"High Utilization"))</f>
        <v>Low Utilization</v>
      </c>
      <c r="H309" s="21">
        <v>3</v>
      </c>
      <c r="I309" s="21">
        <v>0</v>
      </c>
      <c r="J309" s="21">
        <v>71588</v>
      </c>
      <c r="K309">
        <v>0.411034897991429</v>
      </c>
      <c r="L309" t="str">
        <f>IF(Table13[[#This Row],[Debt_to_Income_Ratio]]&lt;0.3,"Low DTI", IF(Table13[[#This Row],[Debt_to_Income_Ratio]]&lt;0.5,"Moderate DTI", "High DTI"))</f>
        <v>Moderate DTI</v>
      </c>
      <c r="M309" t="s">
        <v>50</v>
      </c>
      <c r="N309" s="21">
        <v>0</v>
      </c>
      <c r="O309" t="s">
        <v>31</v>
      </c>
      <c r="P309" t="s">
        <v>32</v>
      </c>
      <c r="Q309" t="s">
        <v>24</v>
      </c>
      <c r="R309" t="s">
        <v>23</v>
      </c>
      <c r="S309" t="s">
        <v>29</v>
      </c>
      <c r="T309" t="s">
        <v>24</v>
      </c>
      <c r="U309" t="s">
        <v>24</v>
      </c>
      <c r="V309" t="s">
        <v>24</v>
      </c>
    </row>
    <row r="310" spans="1:22">
      <c r="A310" t="s">
        <v>346</v>
      </c>
      <c r="B310" s="21">
        <v>48</v>
      </c>
      <c r="C310" s="21">
        <v>70479</v>
      </c>
      <c r="D310" s="21">
        <v>385</v>
      </c>
      <c r="E310" t="str">
        <f>VLOOKUP(Table13[[#This Row],[Credit_Score]],Table4[],2,TRUE)</f>
        <v>High Risk</v>
      </c>
      <c r="F310">
        <v>0.65461998830777401</v>
      </c>
      <c r="G310" t="str">
        <f>IF(Table13[[#This Row],[Credit_Utilization]]&lt;0.3,"Low Utilization",
IF(Table13[[#This Row],[Credit_Utilization]]&lt;0.7,"Moderate Utilization",
"High Utilization"))</f>
        <v>Moderate Utilization</v>
      </c>
      <c r="H310" s="21">
        <v>0</v>
      </c>
      <c r="I310" s="21">
        <v>1</v>
      </c>
      <c r="J310" s="21">
        <v>99005</v>
      </c>
      <c r="K310">
        <v>0.408327324346621</v>
      </c>
      <c r="L310" t="str">
        <f>IF(Table13[[#This Row],[Debt_to_Income_Ratio]]&lt;0.3,"Low DTI", IF(Table13[[#This Row],[Debt_to_Income_Ratio]]&lt;0.5,"Moderate DTI", "High DTI"))</f>
        <v>Moderate DTI</v>
      </c>
      <c r="M310" t="s">
        <v>50</v>
      </c>
      <c r="N310" s="21">
        <v>16</v>
      </c>
      <c r="O310" t="s">
        <v>45</v>
      </c>
      <c r="P310" t="s">
        <v>53</v>
      </c>
      <c r="Q310" t="s">
        <v>24</v>
      </c>
      <c r="R310" t="s">
        <v>23</v>
      </c>
      <c r="S310" t="s">
        <v>29</v>
      </c>
      <c r="T310" t="s">
        <v>23</v>
      </c>
      <c r="U310" t="s">
        <v>23</v>
      </c>
      <c r="V310" t="s">
        <v>29</v>
      </c>
    </row>
    <row r="311" spans="1:22">
      <c r="A311" t="s">
        <v>347</v>
      </c>
      <c r="B311" s="21">
        <v>47</v>
      </c>
      <c r="C311" s="21">
        <v>90697</v>
      </c>
      <c r="D311" s="21">
        <v>682</v>
      </c>
      <c r="E311" t="str">
        <f>VLOOKUP(Table13[[#This Row],[Credit_Score]],Table4[],2,TRUE)</f>
        <v>Medium Risk</v>
      </c>
      <c r="F311">
        <v>0.67644315649336095</v>
      </c>
      <c r="G311" t="str">
        <f>IF(Table13[[#This Row],[Credit_Utilization]]&lt;0.3,"Low Utilization",
IF(Table13[[#This Row],[Credit_Utilization]]&lt;0.7,"Moderate Utilization",
"High Utilization"))</f>
        <v>Moderate Utilization</v>
      </c>
      <c r="H311" s="21">
        <v>6</v>
      </c>
      <c r="I311" s="21">
        <v>1</v>
      </c>
      <c r="J311" s="21">
        <v>46720</v>
      </c>
      <c r="K311">
        <v>0.24335932570375099</v>
      </c>
      <c r="L311" t="str">
        <f>IF(Table13[[#This Row],[Debt_to_Income_Ratio]]&lt;0.3,"Low DTI", IF(Table13[[#This Row],[Debt_to_Income_Ratio]]&lt;0.5,"Moderate DTI", "High DTI"))</f>
        <v>Low DTI</v>
      </c>
      <c r="M311" t="s">
        <v>43</v>
      </c>
      <c r="N311" s="21">
        <v>16</v>
      </c>
      <c r="O311" t="s">
        <v>37</v>
      </c>
      <c r="P311" t="s">
        <v>38</v>
      </c>
      <c r="Q311" t="s">
        <v>23</v>
      </c>
      <c r="R311" t="s">
        <v>24</v>
      </c>
      <c r="S311" t="s">
        <v>24</v>
      </c>
      <c r="T311" t="s">
        <v>23</v>
      </c>
      <c r="U311" t="s">
        <v>29</v>
      </c>
      <c r="V311" t="s">
        <v>23</v>
      </c>
    </row>
    <row r="312" spans="1:22">
      <c r="A312" t="s">
        <v>348</v>
      </c>
      <c r="B312" s="21">
        <v>59</v>
      </c>
      <c r="C312" s="21">
        <v>19835</v>
      </c>
      <c r="D312" s="21">
        <v>374</v>
      </c>
      <c r="E312" t="str">
        <f>VLOOKUP(Table13[[#This Row],[Credit_Score]],Table4[],2,TRUE)</f>
        <v>High Risk</v>
      </c>
      <c r="F312">
        <v>0.32418982296482202</v>
      </c>
      <c r="G312" t="str">
        <f>IF(Table13[[#This Row],[Credit_Utilization]]&lt;0.3,"Low Utilization",
IF(Table13[[#This Row],[Credit_Utilization]]&lt;0.7,"Moderate Utilization",
"High Utilization"))</f>
        <v>Moderate Utilization</v>
      </c>
      <c r="H312" s="21">
        <v>1</v>
      </c>
      <c r="I312" s="21">
        <v>0</v>
      </c>
      <c r="J312" s="21">
        <v>82909</v>
      </c>
      <c r="K312">
        <v>0.242079984227867</v>
      </c>
      <c r="L312" t="str">
        <f>IF(Table13[[#This Row],[Debt_to_Income_Ratio]]&lt;0.3,"Low DTI", IF(Table13[[#This Row],[Debt_to_Income_Ratio]]&lt;0.5,"Moderate DTI", "High DTI"))</f>
        <v>Low DTI</v>
      </c>
      <c r="M312" t="s">
        <v>43</v>
      </c>
      <c r="N312" s="21">
        <v>14</v>
      </c>
      <c r="O312" t="s">
        <v>37</v>
      </c>
      <c r="P312" t="s">
        <v>38</v>
      </c>
      <c r="Q312" t="s">
        <v>23</v>
      </c>
      <c r="R312" t="s">
        <v>23</v>
      </c>
      <c r="S312" t="s">
        <v>29</v>
      </c>
      <c r="T312" t="s">
        <v>24</v>
      </c>
      <c r="U312" t="s">
        <v>23</v>
      </c>
      <c r="V312" t="s">
        <v>29</v>
      </c>
    </row>
    <row r="313" spans="1:22">
      <c r="A313" t="s">
        <v>349</v>
      </c>
      <c r="B313" s="21">
        <v>52</v>
      </c>
      <c r="C313" s="21">
        <v>176426</v>
      </c>
      <c r="D313" s="21">
        <v>320</v>
      </c>
      <c r="E313" t="str">
        <f>VLOOKUP(Table13[[#This Row],[Credit_Score]],Table4[],2,TRUE)</f>
        <v>High Risk</v>
      </c>
      <c r="F313">
        <v>0.392013108092229</v>
      </c>
      <c r="G313" t="str">
        <f>IF(Table13[[#This Row],[Credit_Utilization]]&lt;0.3,"Low Utilization",
IF(Table13[[#This Row],[Credit_Utilization]]&lt;0.7,"Moderate Utilization",
"High Utilization"))</f>
        <v>Moderate Utilization</v>
      </c>
      <c r="H313" s="21">
        <v>3</v>
      </c>
      <c r="I313" s="21">
        <v>1</v>
      </c>
      <c r="J313" s="21">
        <v>31674</v>
      </c>
      <c r="K313">
        <v>0.27750267007116802</v>
      </c>
      <c r="L313" t="str">
        <f>IF(Table13[[#This Row],[Debt_to_Income_Ratio]]&lt;0.3,"Low DTI", IF(Table13[[#This Row],[Debt_to_Income_Ratio]]&lt;0.5,"Moderate DTI", "High DTI"))</f>
        <v>Low DTI</v>
      </c>
      <c r="M313" t="s">
        <v>43</v>
      </c>
      <c r="N313" s="21">
        <v>6</v>
      </c>
      <c r="O313" t="s">
        <v>45</v>
      </c>
      <c r="P313" t="s">
        <v>32</v>
      </c>
      <c r="Q313" t="s">
        <v>24</v>
      </c>
      <c r="R313" t="s">
        <v>23</v>
      </c>
      <c r="S313" t="s">
        <v>24</v>
      </c>
      <c r="T313" t="s">
        <v>24</v>
      </c>
      <c r="U313" t="s">
        <v>23</v>
      </c>
      <c r="V313" t="s">
        <v>24</v>
      </c>
    </row>
    <row r="314" spans="1:22">
      <c r="A314" t="s">
        <v>350</v>
      </c>
      <c r="B314" s="21">
        <v>24</v>
      </c>
      <c r="C314" s="21">
        <v>194208</v>
      </c>
      <c r="D314" s="21">
        <v>321</v>
      </c>
      <c r="E314" t="str">
        <f>VLOOKUP(Table13[[#This Row],[Credit_Score]],Table4[],2,TRUE)</f>
        <v>High Risk</v>
      </c>
      <c r="F314">
        <v>0.48734217577220701</v>
      </c>
      <c r="G314" t="str">
        <f>IF(Table13[[#This Row],[Credit_Utilization]]&lt;0.3,"Low Utilization",
IF(Table13[[#This Row],[Credit_Utilization]]&lt;0.7,"Moderate Utilization",
"High Utilization"))</f>
        <v>Moderate Utilization</v>
      </c>
      <c r="H314" s="21">
        <v>4</v>
      </c>
      <c r="I314" s="21">
        <v>0</v>
      </c>
      <c r="J314" s="21">
        <v>62253</v>
      </c>
      <c r="K314">
        <v>0.36362373753789201</v>
      </c>
      <c r="L314" t="str">
        <f>IF(Table13[[#This Row],[Debt_to_Income_Ratio]]&lt;0.3,"Low DTI", IF(Table13[[#This Row],[Debt_to_Income_Ratio]]&lt;0.5,"Moderate DTI", "High DTI"))</f>
        <v>Moderate DTI</v>
      </c>
      <c r="M314" t="s">
        <v>34</v>
      </c>
      <c r="N314" s="21">
        <v>18</v>
      </c>
      <c r="O314" t="s">
        <v>37</v>
      </c>
      <c r="P314" t="s">
        <v>53</v>
      </c>
      <c r="Q314" t="s">
        <v>24</v>
      </c>
      <c r="R314" t="s">
        <v>29</v>
      </c>
      <c r="S314" t="s">
        <v>29</v>
      </c>
      <c r="T314" t="s">
        <v>29</v>
      </c>
      <c r="U314" t="s">
        <v>23</v>
      </c>
      <c r="V314" t="s">
        <v>23</v>
      </c>
    </row>
    <row r="315" spans="1:22">
      <c r="A315" t="s">
        <v>351</v>
      </c>
      <c r="B315" s="21">
        <v>33</v>
      </c>
      <c r="C315" s="21">
        <v>181267</v>
      </c>
      <c r="D315" s="21">
        <v>494</v>
      </c>
      <c r="E315" t="str">
        <f>VLOOKUP(Table13[[#This Row],[Credit_Score]],Table4[],2,TRUE)</f>
        <v>High Risk</v>
      </c>
      <c r="F315">
        <v>0.95417305620710902</v>
      </c>
      <c r="G315" t="str">
        <f>IF(Table13[[#This Row],[Credit_Utilization]]&lt;0.3,"Low Utilization",
IF(Table13[[#This Row],[Credit_Utilization]]&lt;0.7,"Moderate Utilization",
"High Utilization"))</f>
        <v>High Utilization</v>
      </c>
      <c r="H315" s="21">
        <v>6</v>
      </c>
      <c r="I315" s="21">
        <v>0</v>
      </c>
      <c r="J315" s="21">
        <v>15938</v>
      </c>
      <c r="K315">
        <v>0.24893047302458299</v>
      </c>
      <c r="L315" t="str">
        <f>IF(Table13[[#This Row],[Debt_to_Income_Ratio]]&lt;0.3,"Low DTI", IF(Table13[[#This Row],[Debt_to_Income_Ratio]]&lt;0.5,"Moderate DTI", "High DTI"))</f>
        <v>Low DTI</v>
      </c>
      <c r="M315" t="s">
        <v>50</v>
      </c>
      <c r="N315" s="21">
        <v>2</v>
      </c>
      <c r="O315" t="s">
        <v>45</v>
      </c>
      <c r="P315" t="s">
        <v>32</v>
      </c>
      <c r="Q315" t="s">
        <v>29</v>
      </c>
      <c r="R315" t="s">
        <v>24</v>
      </c>
      <c r="S315" t="s">
        <v>23</v>
      </c>
      <c r="T315" t="s">
        <v>29</v>
      </c>
      <c r="U315" t="s">
        <v>23</v>
      </c>
      <c r="V315" t="s">
        <v>29</v>
      </c>
    </row>
    <row r="316" spans="1:22">
      <c r="A316" t="s">
        <v>352</v>
      </c>
      <c r="B316" s="21">
        <v>43</v>
      </c>
      <c r="C316" s="21">
        <v>77292</v>
      </c>
      <c r="D316" s="21">
        <v>316</v>
      </c>
      <c r="E316" t="str">
        <f>VLOOKUP(Table13[[#This Row],[Credit_Score]],Table4[],2,TRUE)</f>
        <v>High Risk</v>
      </c>
      <c r="F316">
        <v>0.60902434951778595</v>
      </c>
      <c r="G316" t="str">
        <f>IF(Table13[[#This Row],[Credit_Utilization]]&lt;0.3,"Low Utilization",
IF(Table13[[#This Row],[Credit_Utilization]]&lt;0.7,"Moderate Utilization",
"High Utilization"))</f>
        <v>Moderate Utilization</v>
      </c>
      <c r="H316" s="21">
        <v>3</v>
      </c>
      <c r="I316" s="21">
        <v>0</v>
      </c>
      <c r="J316" s="21">
        <v>612</v>
      </c>
      <c r="K316">
        <v>0.28807375264097501</v>
      </c>
      <c r="L316" t="str">
        <f>IF(Table13[[#This Row],[Debt_to_Income_Ratio]]&lt;0.3,"Low DTI", IF(Table13[[#This Row],[Debt_to_Income_Ratio]]&lt;0.5,"Moderate DTI", "High DTI"))</f>
        <v>Low DTI</v>
      </c>
      <c r="M316" t="s">
        <v>43</v>
      </c>
      <c r="N316" s="21">
        <v>10</v>
      </c>
      <c r="O316" t="s">
        <v>37</v>
      </c>
      <c r="P316" t="s">
        <v>32</v>
      </c>
      <c r="Q316" t="s">
        <v>23</v>
      </c>
      <c r="R316" t="s">
        <v>23</v>
      </c>
      <c r="S316" t="s">
        <v>24</v>
      </c>
      <c r="T316" t="s">
        <v>24</v>
      </c>
      <c r="U316" t="s">
        <v>23</v>
      </c>
      <c r="V316" t="s">
        <v>23</v>
      </c>
    </row>
    <row r="317" spans="1:22">
      <c r="A317" t="s">
        <v>353</v>
      </c>
      <c r="B317" s="21">
        <v>65</v>
      </c>
      <c r="C317" s="21">
        <v>32019</v>
      </c>
      <c r="D317" s="21">
        <v>419</v>
      </c>
      <c r="E317" t="str">
        <f>VLOOKUP(Table13[[#This Row],[Credit_Score]],Table4[],2,TRUE)</f>
        <v>High Risk</v>
      </c>
      <c r="F317">
        <v>0.31131689699832399</v>
      </c>
      <c r="G317" t="str">
        <f>IF(Table13[[#This Row],[Credit_Utilization]]&lt;0.3,"Low Utilization",
IF(Table13[[#This Row],[Credit_Utilization]]&lt;0.7,"Moderate Utilization",
"High Utilization"))</f>
        <v>Moderate Utilization</v>
      </c>
      <c r="H317" s="21">
        <v>4</v>
      </c>
      <c r="I317" s="21">
        <v>0</v>
      </c>
      <c r="J317" s="21">
        <v>13355</v>
      </c>
      <c r="K317">
        <v>0.32735938163394401</v>
      </c>
      <c r="L317" t="str">
        <f>IF(Table13[[#This Row],[Debt_to_Income_Ratio]]&lt;0.3,"Low DTI", IF(Table13[[#This Row],[Debt_to_Income_Ratio]]&lt;0.5,"Moderate DTI", "High DTI"))</f>
        <v>Moderate DTI</v>
      </c>
      <c r="M317" t="s">
        <v>34</v>
      </c>
      <c r="N317" s="21">
        <v>19</v>
      </c>
      <c r="O317" t="s">
        <v>31</v>
      </c>
      <c r="P317" t="s">
        <v>22</v>
      </c>
      <c r="Q317" t="s">
        <v>23</v>
      </c>
      <c r="R317" t="s">
        <v>29</v>
      </c>
      <c r="S317" t="s">
        <v>23</v>
      </c>
      <c r="T317" t="s">
        <v>29</v>
      </c>
      <c r="U317" t="s">
        <v>29</v>
      </c>
      <c r="V317" t="s">
        <v>29</v>
      </c>
    </row>
    <row r="318" spans="1:22">
      <c r="A318" t="s">
        <v>354</v>
      </c>
      <c r="B318" s="21">
        <v>74</v>
      </c>
      <c r="C318" s="21">
        <v>102235</v>
      </c>
      <c r="D318" s="21">
        <v>557</v>
      </c>
      <c r="E318" t="str">
        <f>VLOOKUP(Table13[[#This Row],[Credit_Score]],Table4[],2,TRUE)</f>
        <v>High Risk</v>
      </c>
      <c r="F318">
        <v>0.56075606189810101</v>
      </c>
      <c r="G318" t="str">
        <f>IF(Table13[[#This Row],[Credit_Utilization]]&lt;0.3,"Low Utilization",
IF(Table13[[#This Row],[Credit_Utilization]]&lt;0.7,"Moderate Utilization",
"High Utilization"))</f>
        <v>Moderate Utilization</v>
      </c>
      <c r="H318" s="21">
        <v>0</v>
      </c>
      <c r="I318" s="21">
        <v>0</v>
      </c>
      <c r="J318" s="21">
        <v>10778</v>
      </c>
      <c r="K318">
        <v>0.20951080739521299</v>
      </c>
      <c r="L318" t="str">
        <f>IF(Table13[[#This Row],[Debt_to_Income_Ratio]]&lt;0.3,"Low DTI", IF(Table13[[#This Row],[Debt_to_Income_Ratio]]&lt;0.5,"Moderate DTI", "High DTI"))</f>
        <v>Low DTI</v>
      </c>
      <c r="M318" t="s">
        <v>43</v>
      </c>
      <c r="N318" s="21">
        <v>18</v>
      </c>
      <c r="O318" t="s">
        <v>37</v>
      </c>
      <c r="P318" t="s">
        <v>22</v>
      </c>
      <c r="Q318" t="s">
        <v>29</v>
      </c>
      <c r="R318" t="s">
        <v>29</v>
      </c>
      <c r="S318" t="s">
        <v>23</v>
      </c>
      <c r="T318" t="s">
        <v>24</v>
      </c>
      <c r="U318" t="s">
        <v>24</v>
      </c>
      <c r="V318" t="s">
        <v>29</v>
      </c>
    </row>
    <row r="319" spans="1:22">
      <c r="A319" t="s">
        <v>355</v>
      </c>
      <c r="B319" s="21">
        <v>69</v>
      </c>
      <c r="C319" s="21">
        <v>120891</v>
      </c>
      <c r="D319" s="21">
        <v>749</v>
      </c>
      <c r="E319" t="str">
        <f>VLOOKUP(Table13[[#This Row],[Credit_Score]],Table4[],2,TRUE)</f>
        <v>Medium Risk</v>
      </c>
      <c r="F319">
        <v>0.224661691872383</v>
      </c>
      <c r="G319" t="str">
        <f>IF(Table13[[#This Row],[Credit_Utilization]]&lt;0.3,"Low Utilization",
IF(Table13[[#This Row],[Credit_Utilization]]&lt;0.7,"Moderate Utilization",
"High Utilization"))</f>
        <v>Low Utilization</v>
      </c>
      <c r="H319" s="21">
        <v>0</v>
      </c>
      <c r="I319" s="21">
        <v>1</v>
      </c>
      <c r="J319" s="21">
        <v>66118</v>
      </c>
      <c r="K319">
        <v>0.20318917116708801</v>
      </c>
      <c r="L319" t="str">
        <f>IF(Table13[[#This Row],[Debt_to_Income_Ratio]]&lt;0.3,"Low DTI", IF(Table13[[#This Row],[Debt_to_Income_Ratio]]&lt;0.5,"Moderate DTI", "High DTI"))</f>
        <v>Low DTI</v>
      </c>
      <c r="M319" t="s">
        <v>26</v>
      </c>
      <c r="N319" s="21">
        <v>8</v>
      </c>
      <c r="O319" t="s">
        <v>21</v>
      </c>
      <c r="P319" t="s">
        <v>53</v>
      </c>
      <c r="Q319" t="s">
        <v>29</v>
      </c>
      <c r="R319" t="s">
        <v>23</v>
      </c>
      <c r="S319" t="s">
        <v>29</v>
      </c>
      <c r="T319" t="s">
        <v>29</v>
      </c>
      <c r="U319" t="s">
        <v>24</v>
      </c>
      <c r="V319" t="s">
        <v>23</v>
      </c>
    </row>
    <row r="320" spans="1:22">
      <c r="A320" t="s">
        <v>356</v>
      </c>
      <c r="B320" s="21">
        <v>66</v>
      </c>
      <c r="C320" s="21">
        <v>33017</v>
      </c>
      <c r="D320" s="21">
        <v>625</v>
      </c>
      <c r="E320" t="str">
        <f>VLOOKUP(Table13[[#This Row],[Credit_Score]],Table4[],2,TRUE)</f>
        <v>Medium Risk</v>
      </c>
      <c r="F320">
        <v>0.64359806198323399</v>
      </c>
      <c r="G320" t="str">
        <f>IF(Table13[[#This Row],[Credit_Utilization]]&lt;0.3,"Low Utilization",
IF(Table13[[#This Row],[Credit_Utilization]]&lt;0.7,"Moderate Utilization",
"High Utilization"))</f>
        <v>Moderate Utilization</v>
      </c>
      <c r="H320" s="21">
        <v>6</v>
      </c>
      <c r="I320" s="21">
        <v>0</v>
      </c>
      <c r="J320" s="21">
        <v>30443</v>
      </c>
      <c r="K320">
        <v>0.28417361185959999</v>
      </c>
      <c r="L320" t="str">
        <f>IF(Table13[[#This Row],[Debt_to_Income_Ratio]]&lt;0.3,"Low DTI", IF(Table13[[#This Row],[Debt_to_Income_Ratio]]&lt;0.5,"Moderate DTI", "High DTI"))</f>
        <v>Low DTI</v>
      </c>
      <c r="M320" t="s">
        <v>50</v>
      </c>
      <c r="N320" s="21">
        <v>9</v>
      </c>
      <c r="O320" t="s">
        <v>45</v>
      </c>
      <c r="P320" t="s">
        <v>28</v>
      </c>
      <c r="Q320" t="s">
        <v>24</v>
      </c>
      <c r="R320" t="s">
        <v>24</v>
      </c>
      <c r="S320" t="s">
        <v>24</v>
      </c>
      <c r="T320" t="s">
        <v>23</v>
      </c>
      <c r="U320" t="s">
        <v>29</v>
      </c>
      <c r="V320" t="s">
        <v>29</v>
      </c>
    </row>
    <row r="321" spans="1:22">
      <c r="A321" t="s">
        <v>357</v>
      </c>
      <c r="B321" s="21">
        <v>19</v>
      </c>
      <c r="C321" s="21">
        <v>53765</v>
      </c>
      <c r="D321" s="21">
        <v>446</v>
      </c>
      <c r="E321" t="str">
        <f>VLOOKUP(Table13[[#This Row],[Credit_Score]],Table4[],2,TRUE)</f>
        <v>High Risk</v>
      </c>
      <c r="F321">
        <v>0.83510947870889696</v>
      </c>
      <c r="G321" t="str">
        <f>IF(Table13[[#This Row],[Credit_Utilization]]&lt;0.3,"Low Utilization",
IF(Table13[[#This Row],[Credit_Utilization]]&lt;0.7,"Moderate Utilization",
"High Utilization"))</f>
        <v>High Utilization</v>
      </c>
      <c r="H321" s="21">
        <v>3</v>
      </c>
      <c r="I321" s="21">
        <v>1</v>
      </c>
      <c r="J321" s="21">
        <v>86846</v>
      </c>
      <c r="K321">
        <v>0.29741788149516402</v>
      </c>
      <c r="L321" t="str">
        <f>IF(Table13[[#This Row],[Debt_to_Income_Ratio]]&lt;0.3,"Low DTI", IF(Table13[[#This Row],[Debt_to_Income_Ratio]]&lt;0.5,"Moderate DTI", "High DTI"))</f>
        <v>Low DTI</v>
      </c>
      <c r="M321" t="s">
        <v>43</v>
      </c>
      <c r="N321" s="21">
        <v>1</v>
      </c>
      <c r="O321" t="s">
        <v>27</v>
      </c>
      <c r="P321" t="s">
        <v>22</v>
      </c>
      <c r="Q321" t="s">
        <v>23</v>
      </c>
      <c r="R321" t="s">
        <v>24</v>
      </c>
      <c r="S321" t="s">
        <v>29</v>
      </c>
      <c r="T321" t="s">
        <v>29</v>
      </c>
      <c r="U321" t="s">
        <v>24</v>
      </c>
      <c r="V321" t="s">
        <v>29</v>
      </c>
    </row>
    <row r="322" spans="1:22">
      <c r="A322" t="s">
        <v>358</v>
      </c>
      <c r="B322" s="21">
        <v>18</v>
      </c>
      <c r="C322" s="21">
        <v>53513</v>
      </c>
      <c r="D322" s="21">
        <v>391</v>
      </c>
      <c r="E322" t="str">
        <f>VLOOKUP(Table13[[#This Row],[Credit_Score]],Table4[],2,TRUE)</f>
        <v>High Risk</v>
      </c>
      <c r="F322">
        <v>0.83595833701679101</v>
      </c>
      <c r="G322" t="str">
        <f>IF(Table13[[#This Row],[Credit_Utilization]]&lt;0.3,"Low Utilization",
IF(Table13[[#This Row],[Credit_Utilization]]&lt;0.7,"Moderate Utilization",
"High Utilization"))</f>
        <v>High Utilization</v>
      </c>
      <c r="H322" s="21">
        <v>2</v>
      </c>
      <c r="I322" s="21">
        <v>0</v>
      </c>
      <c r="J322" s="21">
        <v>82382</v>
      </c>
      <c r="K322">
        <v>0.343388548000164</v>
      </c>
      <c r="L322" t="str">
        <f>IF(Table13[[#This Row],[Debt_to_Income_Ratio]]&lt;0.3,"Low DTI", IF(Table13[[#This Row],[Debt_to_Income_Ratio]]&lt;0.5,"Moderate DTI", "High DTI"))</f>
        <v>Moderate DTI</v>
      </c>
      <c r="M322" t="s">
        <v>34</v>
      </c>
      <c r="N322" s="21">
        <v>0</v>
      </c>
      <c r="O322" t="s">
        <v>27</v>
      </c>
      <c r="P322" t="s">
        <v>28</v>
      </c>
      <c r="Q322" t="s">
        <v>24</v>
      </c>
      <c r="R322" t="s">
        <v>29</v>
      </c>
      <c r="S322" t="s">
        <v>23</v>
      </c>
      <c r="T322" t="s">
        <v>24</v>
      </c>
      <c r="U322" t="s">
        <v>24</v>
      </c>
      <c r="V322" t="s">
        <v>23</v>
      </c>
    </row>
    <row r="323" spans="1:22">
      <c r="A323" t="s">
        <v>359</v>
      </c>
      <c r="B323" s="21">
        <v>65</v>
      </c>
      <c r="C323" s="21">
        <v>184160</v>
      </c>
      <c r="D323" s="21">
        <v>316</v>
      </c>
      <c r="E323" t="str">
        <f>VLOOKUP(Table13[[#This Row],[Credit_Score]],Table4[],2,TRUE)</f>
        <v>High Risk</v>
      </c>
      <c r="F323">
        <v>0.64697870069486696</v>
      </c>
      <c r="G323" t="str">
        <f>IF(Table13[[#This Row],[Credit_Utilization]]&lt;0.3,"Low Utilization",
IF(Table13[[#This Row],[Credit_Utilization]]&lt;0.7,"Moderate Utilization",
"High Utilization"))</f>
        <v>Moderate Utilization</v>
      </c>
      <c r="H323" s="21">
        <v>4</v>
      </c>
      <c r="I323" s="21">
        <v>0</v>
      </c>
      <c r="J323" s="21">
        <v>95303</v>
      </c>
      <c r="K323">
        <v>0.367188657495155</v>
      </c>
      <c r="L323" t="str">
        <f>IF(Table13[[#This Row],[Debt_to_Income_Ratio]]&lt;0.3,"Low DTI", IF(Table13[[#This Row],[Debt_to_Income_Ratio]]&lt;0.5,"Moderate DTI", "High DTI"))</f>
        <v>Moderate DTI</v>
      </c>
      <c r="M323" t="s">
        <v>50</v>
      </c>
      <c r="N323" s="21">
        <v>15</v>
      </c>
      <c r="O323" t="s">
        <v>45</v>
      </c>
      <c r="P323" t="s">
        <v>38</v>
      </c>
      <c r="Q323" t="s">
        <v>23</v>
      </c>
      <c r="R323" t="s">
        <v>29</v>
      </c>
      <c r="S323" t="s">
        <v>29</v>
      </c>
      <c r="T323" t="s">
        <v>23</v>
      </c>
      <c r="U323" t="s">
        <v>23</v>
      </c>
      <c r="V323" t="s">
        <v>29</v>
      </c>
    </row>
    <row r="324" spans="1:22">
      <c r="A324" t="s">
        <v>360</v>
      </c>
      <c r="B324" s="21">
        <v>29</v>
      </c>
      <c r="C324" s="21">
        <v>70393</v>
      </c>
      <c r="D324" s="21">
        <v>715</v>
      </c>
      <c r="E324" t="str">
        <f>VLOOKUP(Table13[[#This Row],[Credit_Score]],Table4[],2,TRUE)</f>
        <v>Medium Risk</v>
      </c>
      <c r="F324">
        <v>0.38331752882637399</v>
      </c>
      <c r="G324" t="str">
        <f>IF(Table13[[#This Row],[Credit_Utilization]]&lt;0.3,"Low Utilization",
IF(Table13[[#This Row],[Credit_Utilization]]&lt;0.7,"Moderate Utilization",
"High Utilization"))</f>
        <v>Moderate Utilization</v>
      </c>
      <c r="H324" s="21">
        <v>1</v>
      </c>
      <c r="I324" s="21">
        <v>0</v>
      </c>
      <c r="J324" s="21">
        <v>87110</v>
      </c>
      <c r="K324">
        <v>0.190093717942835</v>
      </c>
      <c r="L324" t="str">
        <f>IF(Table13[[#This Row],[Debt_to_Income_Ratio]]&lt;0.3,"Low DTI", IF(Table13[[#This Row],[Debt_to_Income_Ratio]]&lt;0.5,"Moderate DTI", "High DTI"))</f>
        <v>Low DTI</v>
      </c>
      <c r="M324" t="s">
        <v>43</v>
      </c>
      <c r="N324" s="21">
        <v>17</v>
      </c>
      <c r="O324" t="s">
        <v>31</v>
      </c>
      <c r="P324" t="s">
        <v>22</v>
      </c>
      <c r="Q324" t="s">
        <v>24</v>
      </c>
      <c r="R324" t="s">
        <v>29</v>
      </c>
      <c r="S324" t="s">
        <v>24</v>
      </c>
      <c r="T324" t="s">
        <v>24</v>
      </c>
      <c r="U324" t="s">
        <v>24</v>
      </c>
      <c r="V324" t="s">
        <v>29</v>
      </c>
    </row>
    <row r="325" spans="1:22">
      <c r="A325" t="s">
        <v>361</v>
      </c>
      <c r="B325" s="21">
        <v>22</v>
      </c>
      <c r="C325" s="21">
        <v>193352</v>
      </c>
      <c r="D325" s="21">
        <v>471</v>
      </c>
      <c r="E325" t="str">
        <f>VLOOKUP(Table13[[#This Row],[Credit_Score]],Table4[],2,TRUE)</f>
        <v>High Risk</v>
      </c>
      <c r="F325">
        <v>0.23981964869717401</v>
      </c>
      <c r="G325" t="str">
        <f>IF(Table13[[#This Row],[Credit_Utilization]]&lt;0.3,"Low Utilization",
IF(Table13[[#This Row],[Credit_Utilization]]&lt;0.7,"Moderate Utilization",
"High Utilization"))</f>
        <v>Low Utilization</v>
      </c>
      <c r="H325" s="21">
        <v>3</v>
      </c>
      <c r="I325" s="21">
        <v>0</v>
      </c>
      <c r="J325" s="21">
        <v>80430</v>
      </c>
      <c r="K325">
        <v>0.21879150680564299</v>
      </c>
      <c r="L325" t="str">
        <f>IF(Table13[[#This Row],[Debt_to_Income_Ratio]]&lt;0.3,"Low DTI", IF(Table13[[#This Row],[Debt_to_Income_Ratio]]&lt;0.5,"Moderate DTI", "High DTI"))</f>
        <v>Low DTI</v>
      </c>
      <c r="M325" t="s">
        <v>26</v>
      </c>
      <c r="N325" s="21">
        <v>16</v>
      </c>
      <c r="O325" t="s">
        <v>37</v>
      </c>
      <c r="P325" t="s">
        <v>22</v>
      </c>
      <c r="Q325" t="s">
        <v>29</v>
      </c>
      <c r="R325" t="s">
        <v>29</v>
      </c>
      <c r="S325" t="s">
        <v>29</v>
      </c>
      <c r="T325" t="s">
        <v>29</v>
      </c>
      <c r="U325" t="s">
        <v>24</v>
      </c>
      <c r="V325" t="s">
        <v>29</v>
      </c>
    </row>
    <row r="326" spans="1:22">
      <c r="A326" t="s">
        <v>362</v>
      </c>
      <c r="B326" s="21">
        <v>54</v>
      </c>
      <c r="C326" s="21">
        <v>137402</v>
      </c>
      <c r="D326" s="21">
        <v>358</v>
      </c>
      <c r="E326" t="str">
        <f>VLOOKUP(Table13[[#This Row],[Credit_Score]],Table4[],2,TRUE)</f>
        <v>High Risk</v>
      </c>
      <c r="F326">
        <v>0.21995899132617799</v>
      </c>
      <c r="G326" t="str">
        <f>IF(Table13[[#This Row],[Credit_Utilization]]&lt;0.3,"Low Utilization",
IF(Table13[[#This Row],[Credit_Utilization]]&lt;0.7,"Moderate Utilization",
"High Utilization"))</f>
        <v>Low Utilization</v>
      </c>
      <c r="H326" s="21">
        <v>1</v>
      </c>
      <c r="I326" s="21">
        <v>0</v>
      </c>
      <c r="J326" s="21">
        <v>32615</v>
      </c>
      <c r="K326">
        <v>0.20292477124368899</v>
      </c>
      <c r="L326" t="str">
        <f>IF(Table13[[#This Row],[Debt_to_Income_Ratio]]&lt;0.3,"Low DTI", IF(Table13[[#This Row],[Debt_to_Income_Ratio]]&lt;0.5,"Moderate DTI", "High DTI"))</f>
        <v>Low DTI</v>
      </c>
      <c r="M326" t="s">
        <v>34</v>
      </c>
      <c r="N326" s="21">
        <v>5</v>
      </c>
      <c r="O326" t="s">
        <v>31</v>
      </c>
      <c r="P326" t="s">
        <v>53</v>
      </c>
      <c r="Q326" t="s">
        <v>24</v>
      </c>
      <c r="R326" t="s">
        <v>29</v>
      </c>
      <c r="S326" t="s">
        <v>24</v>
      </c>
      <c r="T326" t="s">
        <v>23</v>
      </c>
      <c r="U326" t="s">
        <v>29</v>
      </c>
      <c r="V326" t="s">
        <v>23</v>
      </c>
    </row>
    <row r="327" spans="1:22">
      <c r="A327" t="s">
        <v>363</v>
      </c>
      <c r="B327" s="21">
        <v>49</v>
      </c>
      <c r="C327" s="21">
        <v>18709</v>
      </c>
      <c r="D327" s="21">
        <v>534</v>
      </c>
      <c r="E327" t="str">
        <f>VLOOKUP(Table13[[#This Row],[Credit_Score]],Table4[],2,TRUE)</f>
        <v>High Risk</v>
      </c>
      <c r="F327">
        <v>0.05</v>
      </c>
      <c r="G327" t="str">
        <f>IF(Table13[[#This Row],[Credit_Utilization]]&lt;0.3,"Low Utilization",
IF(Table13[[#This Row],[Credit_Utilization]]&lt;0.7,"Moderate Utilization",
"High Utilization"))</f>
        <v>Low Utilization</v>
      </c>
      <c r="H327" s="21">
        <v>3</v>
      </c>
      <c r="I327" s="21">
        <v>0</v>
      </c>
      <c r="J327" s="21">
        <v>62561</v>
      </c>
      <c r="K327">
        <v>0.441244740159142</v>
      </c>
      <c r="L327" t="str">
        <f>IF(Table13[[#This Row],[Debt_to_Income_Ratio]]&lt;0.3,"Low DTI", IF(Table13[[#This Row],[Debt_to_Income_Ratio]]&lt;0.5,"Moderate DTI", "High DTI"))</f>
        <v>Moderate DTI</v>
      </c>
      <c r="M327" t="s">
        <v>43</v>
      </c>
      <c r="N327" s="21">
        <v>13</v>
      </c>
      <c r="O327" t="s">
        <v>27</v>
      </c>
      <c r="P327" t="s">
        <v>28</v>
      </c>
      <c r="Q327" t="s">
        <v>29</v>
      </c>
      <c r="R327" t="s">
        <v>24</v>
      </c>
      <c r="S327" t="s">
        <v>29</v>
      </c>
      <c r="T327" t="s">
        <v>24</v>
      </c>
      <c r="U327" t="s">
        <v>24</v>
      </c>
      <c r="V327" t="s">
        <v>24</v>
      </c>
    </row>
    <row r="328" spans="1:22">
      <c r="A328" t="s">
        <v>364</v>
      </c>
      <c r="B328" s="21">
        <v>72</v>
      </c>
      <c r="C328" s="21">
        <v>153311</v>
      </c>
      <c r="D328" s="21">
        <v>696</v>
      </c>
      <c r="E328" t="str">
        <f>VLOOKUP(Table13[[#This Row],[Credit_Score]],Table4[],2,TRUE)</f>
        <v>Medium Risk</v>
      </c>
      <c r="F328">
        <v>0.63877115260158401</v>
      </c>
      <c r="G328" t="str">
        <f>IF(Table13[[#This Row],[Credit_Utilization]]&lt;0.3,"Low Utilization",
IF(Table13[[#This Row],[Credit_Utilization]]&lt;0.7,"Moderate Utilization",
"High Utilization"))</f>
        <v>Moderate Utilization</v>
      </c>
      <c r="H328" s="21">
        <v>2</v>
      </c>
      <c r="I328" s="21">
        <v>0</v>
      </c>
      <c r="J328" s="21">
        <v>3081</v>
      </c>
      <c r="K328">
        <v>0.28797294097974602</v>
      </c>
      <c r="L328" t="str">
        <f>IF(Table13[[#This Row],[Debt_to_Income_Ratio]]&lt;0.3,"Low DTI", IF(Table13[[#This Row],[Debt_to_Income_Ratio]]&lt;0.5,"Moderate DTI", "High DTI"))</f>
        <v>Low DTI</v>
      </c>
      <c r="M328" t="s">
        <v>43</v>
      </c>
      <c r="N328" s="21">
        <v>14</v>
      </c>
      <c r="O328" t="s">
        <v>45</v>
      </c>
      <c r="P328" t="s">
        <v>22</v>
      </c>
      <c r="Q328" t="s">
        <v>23</v>
      </c>
      <c r="R328" t="s">
        <v>23</v>
      </c>
      <c r="S328" t="s">
        <v>24</v>
      </c>
      <c r="T328" t="s">
        <v>29</v>
      </c>
      <c r="U328" t="s">
        <v>24</v>
      </c>
      <c r="V328" t="s">
        <v>23</v>
      </c>
    </row>
    <row r="329" spans="1:22">
      <c r="A329" t="s">
        <v>365</v>
      </c>
      <c r="B329" s="21">
        <v>26</v>
      </c>
      <c r="C329" s="21">
        <v>106267</v>
      </c>
      <c r="D329" s="21">
        <v>471</v>
      </c>
      <c r="E329" t="str">
        <f>VLOOKUP(Table13[[#This Row],[Credit_Score]],Table4[],2,TRUE)</f>
        <v>High Risk</v>
      </c>
      <c r="F329">
        <v>0.47943289595512001</v>
      </c>
      <c r="G329" t="str">
        <f>IF(Table13[[#This Row],[Credit_Utilization]]&lt;0.3,"Low Utilization",
IF(Table13[[#This Row],[Credit_Utilization]]&lt;0.7,"Moderate Utilization",
"High Utilization"))</f>
        <v>Moderate Utilization</v>
      </c>
      <c r="H329" s="21">
        <v>2</v>
      </c>
      <c r="I329" s="21">
        <v>0</v>
      </c>
      <c r="J329" s="21">
        <v>43927</v>
      </c>
      <c r="K329">
        <v>0.30161292952450203</v>
      </c>
      <c r="L329" t="str">
        <f>IF(Table13[[#This Row],[Debt_to_Income_Ratio]]&lt;0.3,"Low DTI", IF(Table13[[#This Row],[Debt_to_Income_Ratio]]&lt;0.5,"Moderate DTI", "High DTI"))</f>
        <v>Moderate DTI</v>
      </c>
      <c r="M329" t="s">
        <v>43</v>
      </c>
      <c r="N329" s="21">
        <v>13</v>
      </c>
      <c r="O329" t="s">
        <v>45</v>
      </c>
      <c r="P329" t="s">
        <v>22</v>
      </c>
      <c r="Q329" t="s">
        <v>24</v>
      </c>
      <c r="R329" t="s">
        <v>24</v>
      </c>
      <c r="S329" t="s">
        <v>24</v>
      </c>
      <c r="T329" t="s">
        <v>23</v>
      </c>
      <c r="U329" t="s">
        <v>24</v>
      </c>
      <c r="V329" t="s">
        <v>24</v>
      </c>
    </row>
    <row r="330" spans="1:22">
      <c r="A330" t="s">
        <v>366</v>
      </c>
      <c r="B330" s="21">
        <v>58</v>
      </c>
      <c r="C330" s="21">
        <v>179506</v>
      </c>
      <c r="D330" s="21">
        <v>461</v>
      </c>
      <c r="E330" t="str">
        <f>VLOOKUP(Table13[[#This Row],[Credit_Score]],Table4[],2,TRUE)</f>
        <v>High Risk</v>
      </c>
      <c r="F330">
        <v>0.68184323329062502</v>
      </c>
      <c r="G330" t="str">
        <f>IF(Table13[[#This Row],[Credit_Utilization]]&lt;0.3,"Low Utilization",
IF(Table13[[#This Row],[Credit_Utilization]]&lt;0.7,"Moderate Utilization",
"High Utilization"))</f>
        <v>Moderate Utilization</v>
      </c>
      <c r="H330" s="21">
        <v>6</v>
      </c>
      <c r="I330" s="21">
        <v>0</v>
      </c>
      <c r="J330" s="21">
        <v>32615</v>
      </c>
      <c r="K330">
        <v>0.30577743640135102</v>
      </c>
      <c r="L330" t="str">
        <f>IF(Table13[[#This Row],[Debt_to_Income_Ratio]]&lt;0.3,"Low DTI", IF(Table13[[#This Row],[Debt_to_Income_Ratio]]&lt;0.5,"Moderate DTI", "High DTI"))</f>
        <v>Moderate DTI</v>
      </c>
      <c r="M330" t="s">
        <v>34</v>
      </c>
      <c r="N330" s="21">
        <v>2</v>
      </c>
      <c r="O330" t="s">
        <v>31</v>
      </c>
      <c r="P330" t="s">
        <v>53</v>
      </c>
      <c r="Q330" t="s">
        <v>29</v>
      </c>
      <c r="R330" t="s">
        <v>24</v>
      </c>
      <c r="S330" t="s">
        <v>23</v>
      </c>
      <c r="T330" t="s">
        <v>24</v>
      </c>
      <c r="U330" t="s">
        <v>29</v>
      </c>
      <c r="V330" t="s">
        <v>23</v>
      </c>
    </row>
    <row r="331" spans="1:22">
      <c r="A331" t="s">
        <v>367</v>
      </c>
      <c r="B331" s="21">
        <v>52</v>
      </c>
      <c r="C331" s="21">
        <v>26174</v>
      </c>
      <c r="D331" s="21">
        <v>556</v>
      </c>
      <c r="E331" t="str">
        <f>VLOOKUP(Table13[[#This Row],[Credit_Score]],Table4[],2,TRUE)</f>
        <v>High Risk</v>
      </c>
      <c r="F331">
        <v>0.78560629704695695</v>
      </c>
      <c r="G331" t="str">
        <f>IF(Table13[[#This Row],[Credit_Utilization]]&lt;0.3,"Low Utilization",
IF(Table13[[#This Row],[Credit_Utilization]]&lt;0.7,"Moderate Utilization",
"High Utilization"))</f>
        <v>High Utilization</v>
      </c>
      <c r="H331" s="21">
        <v>6</v>
      </c>
      <c r="I331" s="21">
        <v>0</v>
      </c>
      <c r="J331" s="21">
        <v>92183</v>
      </c>
      <c r="K331">
        <v>0.22843299862823599</v>
      </c>
      <c r="L331" t="str">
        <f>IF(Table13[[#This Row],[Debt_to_Income_Ratio]]&lt;0.3,"Low DTI", IF(Table13[[#This Row],[Debt_to_Income_Ratio]]&lt;0.5,"Moderate DTI", "High DTI"))</f>
        <v>Low DTI</v>
      </c>
      <c r="M331" t="s">
        <v>34</v>
      </c>
      <c r="N331" s="21">
        <v>18</v>
      </c>
      <c r="O331" t="s">
        <v>31</v>
      </c>
      <c r="P331" t="s">
        <v>53</v>
      </c>
      <c r="Q331" t="s">
        <v>23</v>
      </c>
      <c r="R331" t="s">
        <v>29</v>
      </c>
      <c r="S331" t="s">
        <v>29</v>
      </c>
      <c r="T331" t="s">
        <v>23</v>
      </c>
      <c r="U331" t="s">
        <v>29</v>
      </c>
      <c r="V331" t="s">
        <v>29</v>
      </c>
    </row>
    <row r="332" spans="1:22">
      <c r="A332" t="s">
        <v>368</v>
      </c>
      <c r="B332" s="21">
        <v>36</v>
      </c>
      <c r="C332" s="21">
        <v>43251</v>
      </c>
      <c r="D332" s="21">
        <v>644</v>
      </c>
      <c r="E332" t="str">
        <f>VLOOKUP(Table13[[#This Row],[Credit_Score]],Table4[],2,TRUE)</f>
        <v>Medium Risk</v>
      </c>
      <c r="F332">
        <v>0.51998110878048198</v>
      </c>
      <c r="G332" t="str">
        <f>IF(Table13[[#This Row],[Credit_Utilization]]&lt;0.3,"Low Utilization",
IF(Table13[[#This Row],[Credit_Utilization]]&lt;0.7,"Moderate Utilization",
"High Utilization"))</f>
        <v>Moderate Utilization</v>
      </c>
      <c r="H332" s="21">
        <v>2</v>
      </c>
      <c r="I332" s="21">
        <v>0</v>
      </c>
      <c r="J332" s="21">
        <v>39259</v>
      </c>
      <c r="K332">
        <v>0.45642695189460297</v>
      </c>
      <c r="L332" t="str">
        <f>IF(Table13[[#This Row],[Debt_to_Income_Ratio]]&lt;0.3,"Low DTI", IF(Table13[[#This Row],[Debt_to_Income_Ratio]]&lt;0.5,"Moderate DTI", "High DTI"))</f>
        <v>Moderate DTI</v>
      </c>
      <c r="M332" t="s">
        <v>43</v>
      </c>
      <c r="N332" s="21">
        <v>11</v>
      </c>
      <c r="O332" t="s">
        <v>37</v>
      </c>
      <c r="P332" t="s">
        <v>28</v>
      </c>
      <c r="Q332" t="s">
        <v>29</v>
      </c>
      <c r="R332" t="s">
        <v>24</v>
      </c>
      <c r="S332" t="s">
        <v>24</v>
      </c>
      <c r="T332" t="s">
        <v>29</v>
      </c>
      <c r="U332" t="s">
        <v>24</v>
      </c>
      <c r="V332" t="s">
        <v>23</v>
      </c>
    </row>
    <row r="333" spans="1:22">
      <c r="A333" t="s">
        <v>369</v>
      </c>
      <c r="B333" s="21">
        <v>65</v>
      </c>
      <c r="C333" s="21">
        <v>81234</v>
      </c>
      <c r="D333" s="21">
        <v>326</v>
      </c>
      <c r="E333" t="str">
        <f>VLOOKUP(Table13[[#This Row],[Credit_Score]],Table4[],2,TRUE)</f>
        <v>High Risk</v>
      </c>
      <c r="F333">
        <v>0.52919232194263</v>
      </c>
      <c r="G333" t="str">
        <f>IF(Table13[[#This Row],[Credit_Utilization]]&lt;0.3,"Low Utilization",
IF(Table13[[#This Row],[Credit_Utilization]]&lt;0.7,"Moderate Utilization",
"High Utilization"))</f>
        <v>Moderate Utilization</v>
      </c>
      <c r="H333" s="21">
        <v>5</v>
      </c>
      <c r="I333" s="21">
        <v>0</v>
      </c>
      <c r="J333" s="21">
        <v>17023</v>
      </c>
      <c r="K333">
        <v>0.34110266548187201</v>
      </c>
      <c r="L333" t="str">
        <f>IF(Table13[[#This Row],[Debt_to_Income_Ratio]]&lt;0.3,"Low DTI", IF(Table13[[#This Row],[Debt_to_Income_Ratio]]&lt;0.5,"Moderate DTI", "High DTI"))</f>
        <v>Moderate DTI</v>
      </c>
      <c r="M333" t="s">
        <v>43</v>
      </c>
      <c r="N333" s="21">
        <v>1</v>
      </c>
      <c r="O333" t="s">
        <v>21</v>
      </c>
      <c r="P333" t="s">
        <v>38</v>
      </c>
      <c r="Q333" t="s">
        <v>29</v>
      </c>
      <c r="R333" t="s">
        <v>23</v>
      </c>
      <c r="S333" t="s">
        <v>23</v>
      </c>
      <c r="T333" t="s">
        <v>23</v>
      </c>
      <c r="U333" t="s">
        <v>24</v>
      </c>
      <c r="V333" t="s">
        <v>29</v>
      </c>
    </row>
    <row r="334" spans="1:22">
      <c r="A334" t="s">
        <v>370</v>
      </c>
      <c r="B334" s="21">
        <v>33</v>
      </c>
      <c r="C334" s="21">
        <v>85640</v>
      </c>
      <c r="D334" s="21">
        <v>522</v>
      </c>
      <c r="E334" t="str">
        <f>VLOOKUP(Table13[[#This Row],[Credit_Score]],Table4[],2,TRUE)</f>
        <v>High Risk</v>
      </c>
      <c r="F334">
        <v>0.407135931100506</v>
      </c>
      <c r="G334" t="str">
        <f>IF(Table13[[#This Row],[Credit_Utilization]]&lt;0.3,"Low Utilization",
IF(Table13[[#This Row],[Credit_Utilization]]&lt;0.7,"Moderate Utilization",
"High Utilization"))</f>
        <v>Moderate Utilization</v>
      </c>
      <c r="H334" s="21">
        <v>2</v>
      </c>
      <c r="I334" s="21">
        <v>0</v>
      </c>
      <c r="J334" s="21">
        <v>80150</v>
      </c>
      <c r="K334">
        <v>0.30395905297779402</v>
      </c>
      <c r="L334" t="str">
        <f>IF(Table13[[#This Row],[Debt_to_Income_Ratio]]&lt;0.3,"Low DTI", IF(Table13[[#This Row],[Debt_to_Income_Ratio]]&lt;0.5,"Moderate DTI", "High DTI"))</f>
        <v>Moderate DTI</v>
      </c>
      <c r="M334" t="s">
        <v>43</v>
      </c>
      <c r="N334" s="21">
        <v>2</v>
      </c>
      <c r="O334" t="s">
        <v>21</v>
      </c>
      <c r="P334" t="s">
        <v>38</v>
      </c>
      <c r="Q334" t="s">
        <v>24</v>
      </c>
      <c r="R334" t="s">
        <v>23</v>
      </c>
      <c r="S334" t="s">
        <v>23</v>
      </c>
      <c r="T334" t="s">
        <v>24</v>
      </c>
      <c r="U334" t="s">
        <v>29</v>
      </c>
      <c r="V334" t="s">
        <v>23</v>
      </c>
    </row>
    <row r="335" spans="1:22">
      <c r="A335" t="s">
        <v>371</v>
      </c>
      <c r="B335" s="21">
        <v>20</v>
      </c>
      <c r="C335" s="21">
        <v>67638</v>
      </c>
      <c r="D335" s="21">
        <v>498</v>
      </c>
      <c r="E335" t="str">
        <f>VLOOKUP(Table13[[#This Row],[Credit_Score]],Table4[],2,TRUE)</f>
        <v>High Risk</v>
      </c>
      <c r="F335">
        <v>0.43078311656551799</v>
      </c>
      <c r="G335" t="str">
        <f>IF(Table13[[#This Row],[Credit_Utilization]]&lt;0.3,"Low Utilization",
IF(Table13[[#This Row],[Credit_Utilization]]&lt;0.7,"Moderate Utilization",
"High Utilization"))</f>
        <v>Moderate Utilization</v>
      </c>
      <c r="H335" s="21">
        <v>0</v>
      </c>
      <c r="I335" s="21">
        <v>0</v>
      </c>
      <c r="J335" s="21">
        <v>27446</v>
      </c>
      <c r="K335">
        <v>0.18947435788494299</v>
      </c>
      <c r="L335" t="str">
        <f>IF(Table13[[#This Row],[Debt_to_Income_Ratio]]&lt;0.3,"Low DTI", IF(Table13[[#This Row],[Debt_to_Income_Ratio]]&lt;0.5,"Moderate DTI", "High DTI"))</f>
        <v>Low DTI</v>
      </c>
      <c r="M335" t="s">
        <v>43</v>
      </c>
      <c r="N335" s="21">
        <v>17</v>
      </c>
      <c r="O335" t="s">
        <v>37</v>
      </c>
      <c r="P335" t="s">
        <v>32</v>
      </c>
      <c r="Q335" t="s">
        <v>24</v>
      </c>
      <c r="R335" t="s">
        <v>23</v>
      </c>
      <c r="S335" t="s">
        <v>29</v>
      </c>
      <c r="T335" t="s">
        <v>29</v>
      </c>
      <c r="U335" t="s">
        <v>29</v>
      </c>
      <c r="V335" t="s">
        <v>24</v>
      </c>
    </row>
    <row r="336" spans="1:22">
      <c r="A336" t="s">
        <v>372</v>
      </c>
      <c r="B336" s="21">
        <v>37</v>
      </c>
      <c r="C336" s="21">
        <v>81234</v>
      </c>
      <c r="D336" s="21">
        <v>339</v>
      </c>
      <c r="E336" t="str">
        <f>VLOOKUP(Table13[[#This Row],[Credit_Score]],Table4[],2,TRUE)</f>
        <v>High Risk</v>
      </c>
      <c r="F336">
        <v>0.64569398249458598</v>
      </c>
      <c r="G336" t="str">
        <f>IF(Table13[[#This Row],[Credit_Utilization]]&lt;0.3,"Low Utilization",
IF(Table13[[#This Row],[Credit_Utilization]]&lt;0.7,"Moderate Utilization",
"High Utilization"))</f>
        <v>Moderate Utilization</v>
      </c>
      <c r="H336" s="21">
        <v>0</v>
      </c>
      <c r="I336" s="21">
        <v>1</v>
      </c>
      <c r="J336" s="21">
        <v>91557</v>
      </c>
      <c r="K336">
        <v>0.183806750834375</v>
      </c>
      <c r="L336" t="str">
        <f>IF(Table13[[#This Row],[Debt_to_Income_Ratio]]&lt;0.3,"Low DTI", IF(Table13[[#This Row],[Debt_to_Income_Ratio]]&lt;0.5,"Moderate DTI", "High DTI"))</f>
        <v>Low DTI</v>
      </c>
      <c r="M336" t="s">
        <v>43</v>
      </c>
      <c r="N336" s="21">
        <v>0</v>
      </c>
      <c r="O336" t="s">
        <v>21</v>
      </c>
      <c r="P336" t="s">
        <v>22</v>
      </c>
      <c r="Q336" t="s">
        <v>29</v>
      </c>
      <c r="R336" t="s">
        <v>29</v>
      </c>
      <c r="S336" t="s">
        <v>23</v>
      </c>
      <c r="T336" t="s">
        <v>29</v>
      </c>
      <c r="U336" t="s">
        <v>24</v>
      </c>
      <c r="V336" t="s">
        <v>23</v>
      </c>
    </row>
    <row r="337" spans="1:22">
      <c r="A337" t="s">
        <v>373</v>
      </c>
      <c r="B337" s="21">
        <v>41</v>
      </c>
      <c r="C337" s="21">
        <v>159356</v>
      </c>
      <c r="D337" s="21">
        <v>658</v>
      </c>
      <c r="E337" t="str">
        <f>VLOOKUP(Table13[[#This Row],[Credit_Score]],Table4[],2,TRUE)</f>
        <v>Medium Risk</v>
      </c>
      <c r="F337">
        <v>0.46512499392693701</v>
      </c>
      <c r="G337" t="str">
        <f>IF(Table13[[#This Row],[Credit_Utilization]]&lt;0.3,"Low Utilization",
IF(Table13[[#This Row],[Credit_Utilization]]&lt;0.7,"Moderate Utilization",
"High Utilization"))</f>
        <v>Moderate Utilization</v>
      </c>
      <c r="H337" s="21">
        <v>5</v>
      </c>
      <c r="I337" s="21">
        <v>0</v>
      </c>
      <c r="J337" s="21">
        <v>44449</v>
      </c>
      <c r="K337">
        <v>0.269109246839423</v>
      </c>
      <c r="L337" t="str">
        <f>IF(Table13[[#This Row],[Debt_to_Income_Ratio]]&lt;0.3,"Low DTI", IF(Table13[[#This Row],[Debt_to_Income_Ratio]]&lt;0.5,"Moderate DTI", "High DTI"))</f>
        <v>Low DTI</v>
      </c>
      <c r="M337" t="s">
        <v>50</v>
      </c>
      <c r="N337" s="21">
        <v>19</v>
      </c>
      <c r="O337" t="s">
        <v>27</v>
      </c>
      <c r="P337" t="s">
        <v>28</v>
      </c>
      <c r="Q337" t="s">
        <v>24</v>
      </c>
      <c r="R337" t="s">
        <v>24</v>
      </c>
      <c r="S337" t="s">
        <v>23</v>
      </c>
      <c r="T337" t="s">
        <v>24</v>
      </c>
      <c r="U337" t="s">
        <v>24</v>
      </c>
      <c r="V337" t="s">
        <v>23</v>
      </c>
    </row>
    <row r="338" spans="1:22">
      <c r="A338" t="s">
        <v>374</v>
      </c>
      <c r="B338" s="21">
        <v>71</v>
      </c>
      <c r="C338" s="21">
        <v>150230</v>
      </c>
      <c r="D338" s="21">
        <v>627</v>
      </c>
      <c r="E338" t="str">
        <f>VLOOKUP(Table13[[#This Row],[Credit_Score]],Table4[],2,TRUE)</f>
        <v>Medium Risk</v>
      </c>
      <c r="F338">
        <v>0.43619846664943501</v>
      </c>
      <c r="G338" t="str">
        <f>IF(Table13[[#This Row],[Credit_Utilization]]&lt;0.3,"Low Utilization",
IF(Table13[[#This Row],[Credit_Utilization]]&lt;0.7,"Moderate Utilization",
"High Utilization"))</f>
        <v>Moderate Utilization</v>
      </c>
      <c r="H338" s="21">
        <v>4</v>
      </c>
      <c r="I338" s="21">
        <v>1</v>
      </c>
      <c r="J338" s="21">
        <v>31316</v>
      </c>
      <c r="K338">
        <v>0.23000082064281699</v>
      </c>
      <c r="L338" t="str">
        <f>IF(Table13[[#This Row],[Debt_to_Income_Ratio]]&lt;0.3,"Low DTI", IF(Table13[[#This Row],[Debt_to_Income_Ratio]]&lt;0.5,"Moderate DTI", "High DTI"))</f>
        <v>Low DTI</v>
      </c>
      <c r="M338" t="s">
        <v>43</v>
      </c>
      <c r="N338" s="21">
        <v>5</v>
      </c>
      <c r="O338" t="s">
        <v>21</v>
      </c>
      <c r="P338" t="s">
        <v>22</v>
      </c>
      <c r="Q338" t="s">
        <v>29</v>
      </c>
      <c r="R338" t="s">
        <v>23</v>
      </c>
      <c r="S338" t="s">
        <v>29</v>
      </c>
      <c r="T338" t="s">
        <v>29</v>
      </c>
      <c r="U338" t="s">
        <v>29</v>
      </c>
      <c r="V338" t="s">
        <v>23</v>
      </c>
    </row>
    <row r="339" spans="1:22">
      <c r="A339" t="s">
        <v>375</v>
      </c>
      <c r="B339" s="21">
        <v>73</v>
      </c>
      <c r="C339" s="21">
        <v>120570</v>
      </c>
      <c r="D339" s="21">
        <v>820</v>
      </c>
      <c r="E339" t="str">
        <f>VLOOKUP(Table13[[#This Row],[Credit_Score]],Table4[],2,TRUE)</f>
        <v>Low Risk</v>
      </c>
      <c r="F339">
        <v>0.49633662811142898</v>
      </c>
      <c r="G339" t="str">
        <f>IF(Table13[[#This Row],[Credit_Utilization]]&lt;0.3,"Low Utilization",
IF(Table13[[#This Row],[Credit_Utilization]]&lt;0.7,"Moderate Utilization",
"High Utilization"))</f>
        <v>Moderate Utilization</v>
      </c>
      <c r="H339" s="21">
        <v>1</v>
      </c>
      <c r="I339" s="21">
        <v>0</v>
      </c>
      <c r="J339" s="21">
        <v>61186</v>
      </c>
      <c r="K339">
        <v>0.193255565445344</v>
      </c>
      <c r="L339" t="str">
        <f>IF(Table13[[#This Row],[Debt_to_Income_Ratio]]&lt;0.3,"Low DTI", IF(Table13[[#This Row],[Debt_to_Income_Ratio]]&lt;0.5,"Moderate DTI", "High DTI"))</f>
        <v>Low DTI</v>
      </c>
      <c r="M339" t="s">
        <v>26</v>
      </c>
      <c r="N339" s="21">
        <v>4</v>
      </c>
      <c r="O339" t="s">
        <v>37</v>
      </c>
      <c r="P339" t="s">
        <v>28</v>
      </c>
      <c r="Q339" t="s">
        <v>29</v>
      </c>
      <c r="R339" t="s">
        <v>24</v>
      </c>
      <c r="S339" t="s">
        <v>23</v>
      </c>
      <c r="T339" t="s">
        <v>23</v>
      </c>
      <c r="U339" t="s">
        <v>29</v>
      </c>
      <c r="V339" t="s">
        <v>24</v>
      </c>
    </row>
    <row r="340" spans="1:22">
      <c r="A340" t="s">
        <v>376</v>
      </c>
      <c r="B340" s="21">
        <v>50</v>
      </c>
      <c r="C340" s="21">
        <v>117795</v>
      </c>
      <c r="D340" s="21">
        <v>591</v>
      </c>
      <c r="E340" t="str">
        <f>VLOOKUP(Table13[[#This Row],[Credit_Score]],Table4[],2,TRUE)</f>
        <v>High Risk</v>
      </c>
      <c r="F340">
        <v>0.67726603921231798</v>
      </c>
      <c r="G340" t="str">
        <f>IF(Table13[[#This Row],[Credit_Utilization]]&lt;0.3,"Low Utilization",
IF(Table13[[#This Row],[Credit_Utilization]]&lt;0.7,"Moderate Utilization",
"High Utilization"))</f>
        <v>Moderate Utilization</v>
      </c>
      <c r="H340" s="21">
        <v>3</v>
      </c>
      <c r="I340" s="21">
        <v>1</v>
      </c>
      <c r="J340" s="21">
        <v>51016</v>
      </c>
      <c r="K340">
        <v>0.26290419804284398</v>
      </c>
      <c r="L340" t="str">
        <f>IF(Table13[[#This Row],[Debt_to_Income_Ratio]]&lt;0.3,"Low DTI", IF(Table13[[#This Row],[Debt_to_Income_Ratio]]&lt;0.5,"Moderate DTI", "High DTI"))</f>
        <v>Low DTI</v>
      </c>
      <c r="M340" t="s">
        <v>34</v>
      </c>
      <c r="N340" s="21">
        <v>0</v>
      </c>
      <c r="O340" t="s">
        <v>21</v>
      </c>
      <c r="P340" t="s">
        <v>28</v>
      </c>
      <c r="Q340" t="s">
        <v>23</v>
      </c>
      <c r="R340" t="s">
        <v>24</v>
      </c>
      <c r="S340" t="s">
        <v>24</v>
      </c>
      <c r="T340" t="s">
        <v>23</v>
      </c>
      <c r="U340" t="s">
        <v>24</v>
      </c>
      <c r="V340" t="s">
        <v>23</v>
      </c>
    </row>
    <row r="341" spans="1:22">
      <c r="A341" t="s">
        <v>377</v>
      </c>
      <c r="B341" s="21">
        <v>41</v>
      </c>
      <c r="C341" s="21">
        <v>62295</v>
      </c>
      <c r="D341" s="21">
        <v>715</v>
      </c>
      <c r="E341" t="str">
        <f>VLOOKUP(Table13[[#This Row],[Credit_Score]],Table4[],2,TRUE)</f>
        <v>Medium Risk</v>
      </c>
      <c r="F341">
        <v>0.36146768843397897</v>
      </c>
      <c r="G341" t="str">
        <f>IF(Table13[[#This Row],[Credit_Utilization]]&lt;0.3,"Low Utilization",
IF(Table13[[#This Row],[Credit_Utilization]]&lt;0.7,"Moderate Utilization",
"High Utilization"))</f>
        <v>Moderate Utilization</v>
      </c>
      <c r="H341" s="21">
        <v>3</v>
      </c>
      <c r="I341" s="21">
        <v>1</v>
      </c>
      <c r="J341" s="21">
        <v>86488</v>
      </c>
      <c r="K341">
        <v>0.27835719717241098</v>
      </c>
      <c r="L341" t="str">
        <f>IF(Table13[[#This Row],[Debt_to_Income_Ratio]]&lt;0.3,"Low DTI", IF(Table13[[#This Row],[Debt_to_Income_Ratio]]&lt;0.5,"Moderate DTI", "High DTI"))</f>
        <v>Low DTI</v>
      </c>
      <c r="M341" t="s">
        <v>26</v>
      </c>
      <c r="N341" s="21">
        <v>18</v>
      </c>
      <c r="O341" t="s">
        <v>45</v>
      </c>
      <c r="P341" t="s">
        <v>28</v>
      </c>
      <c r="Q341" t="s">
        <v>23</v>
      </c>
      <c r="R341" t="s">
        <v>23</v>
      </c>
      <c r="S341" t="s">
        <v>29</v>
      </c>
      <c r="T341" t="s">
        <v>24</v>
      </c>
      <c r="U341" t="s">
        <v>23</v>
      </c>
      <c r="V341" t="s">
        <v>24</v>
      </c>
    </row>
    <row r="342" spans="1:22">
      <c r="A342" t="s">
        <v>378</v>
      </c>
      <c r="B342" s="21">
        <v>69</v>
      </c>
      <c r="C342" s="21">
        <v>70479</v>
      </c>
      <c r="D342" s="21">
        <v>361</v>
      </c>
      <c r="E342" t="str">
        <f>VLOOKUP(Table13[[#This Row],[Credit_Score]],Table4[],2,TRUE)</f>
        <v>High Risk</v>
      </c>
      <c r="F342">
        <v>0.486694296489593</v>
      </c>
      <c r="G342" t="str">
        <f>IF(Table13[[#This Row],[Credit_Utilization]]&lt;0.3,"Low Utilization",
IF(Table13[[#This Row],[Credit_Utilization]]&lt;0.7,"Moderate Utilization",
"High Utilization"))</f>
        <v>Moderate Utilization</v>
      </c>
      <c r="H342" s="21">
        <v>5</v>
      </c>
      <c r="I342" s="21">
        <v>0</v>
      </c>
      <c r="J342" s="21">
        <v>11308</v>
      </c>
      <c r="K342">
        <v>0.31417854204602602</v>
      </c>
      <c r="L342" t="str">
        <f>IF(Table13[[#This Row],[Debt_to_Income_Ratio]]&lt;0.3,"Low DTI", IF(Table13[[#This Row],[Debt_to_Income_Ratio]]&lt;0.5,"Moderate DTI", "High DTI"))</f>
        <v>Moderate DTI</v>
      </c>
      <c r="M342" t="s">
        <v>50</v>
      </c>
      <c r="N342" s="21">
        <v>0</v>
      </c>
      <c r="O342" t="s">
        <v>31</v>
      </c>
      <c r="P342" t="s">
        <v>22</v>
      </c>
      <c r="Q342" t="s">
        <v>29</v>
      </c>
      <c r="R342" t="s">
        <v>23</v>
      </c>
      <c r="S342" t="s">
        <v>23</v>
      </c>
      <c r="T342" t="s">
        <v>24</v>
      </c>
      <c r="U342" t="s">
        <v>23</v>
      </c>
      <c r="V342" t="s">
        <v>24</v>
      </c>
    </row>
    <row r="343" spans="1:22">
      <c r="A343" t="s">
        <v>379</v>
      </c>
      <c r="B343" s="21">
        <v>28</v>
      </c>
      <c r="C343" s="21">
        <v>166836</v>
      </c>
      <c r="D343" s="21">
        <v>495</v>
      </c>
      <c r="E343" t="str">
        <f>VLOOKUP(Table13[[#This Row],[Credit_Score]],Table4[],2,TRUE)</f>
        <v>High Risk</v>
      </c>
      <c r="F343">
        <v>0.54905556755568596</v>
      </c>
      <c r="G343" t="str">
        <f>IF(Table13[[#This Row],[Credit_Utilization]]&lt;0.3,"Low Utilization",
IF(Table13[[#This Row],[Credit_Utilization]]&lt;0.7,"Moderate Utilization",
"High Utilization"))</f>
        <v>Moderate Utilization</v>
      </c>
      <c r="H343" s="21">
        <v>0</v>
      </c>
      <c r="I343" s="21">
        <v>0</v>
      </c>
      <c r="J343" s="21">
        <v>62253</v>
      </c>
      <c r="K343">
        <v>0.24960805286257301</v>
      </c>
      <c r="L343" t="str">
        <f>IF(Table13[[#This Row],[Debt_to_Income_Ratio]]&lt;0.3,"Low DTI", IF(Table13[[#This Row],[Debt_to_Income_Ratio]]&lt;0.5,"Moderate DTI", "High DTI"))</f>
        <v>Low DTI</v>
      </c>
      <c r="M343" t="s">
        <v>50</v>
      </c>
      <c r="N343" s="21">
        <v>15</v>
      </c>
      <c r="O343" t="s">
        <v>27</v>
      </c>
      <c r="P343" t="s">
        <v>53</v>
      </c>
      <c r="Q343" t="s">
        <v>24</v>
      </c>
      <c r="R343" t="s">
        <v>24</v>
      </c>
      <c r="S343" t="s">
        <v>29</v>
      </c>
      <c r="T343" t="s">
        <v>23</v>
      </c>
      <c r="U343" t="s">
        <v>23</v>
      </c>
      <c r="V343" t="s">
        <v>24</v>
      </c>
    </row>
    <row r="344" spans="1:22">
      <c r="A344" t="s">
        <v>380</v>
      </c>
      <c r="B344" s="21">
        <v>66</v>
      </c>
      <c r="C344" s="21">
        <v>18267</v>
      </c>
      <c r="D344" s="21">
        <v>541</v>
      </c>
      <c r="E344" t="str">
        <f>VLOOKUP(Table13[[#This Row],[Credit_Score]],Table4[],2,TRUE)</f>
        <v>High Risk</v>
      </c>
      <c r="F344">
        <v>0.73204438071704703</v>
      </c>
      <c r="G344" t="str">
        <f>IF(Table13[[#This Row],[Credit_Utilization]]&lt;0.3,"Low Utilization",
IF(Table13[[#This Row],[Credit_Utilization]]&lt;0.7,"Moderate Utilization",
"High Utilization"))</f>
        <v>High Utilization</v>
      </c>
      <c r="H344" s="21">
        <v>6</v>
      </c>
      <c r="I344" s="21">
        <v>0</v>
      </c>
      <c r="J344" s="21">
        <v>45776</v>
      </c>
      <c r="K344">
        <v>0.199239930533996</v>
      </c>
      <c r="L344" t="str">
        <f>IF(Table13[[#This Row],[Debt_to_Income_Ratio]]&lt;0.3,"Low DTI", IF(Table13[[#This Row],[Debt_to_Income_Ratio]]&lt;0.5,"Moderate DTI", "High DTI"))</f>
        <v>Low DTI</v>
      </c>
      <c r="M344" t="s">
        <v>43</v>
      </c>
      <c r="N344" s="21">
        <v>11</v>
      </c>
      <c r="O344" t="s">
        <v>45</v>
      </c>
      <c r="P344" t="s">
        <v>22</v>
      </c>
      <c r="Q344" t="s">
        <v>23</v>
      </c>
      <c r="R344" t="s">
        <v>29</v>
      </c>
      <c r="S344" t="s">
        <v>24</v>
      </c>
      <c r="T344" t="s">
        <v>23</v>
      </c>
      <c r="U344" t="s">
        <v>24</v>
      </c>
      <c r="V344" t="s">
        <v>29</v>
      </c>
    </row>
    <row r="345" spans="1:22">
      <c r="A345" t="s">
        <v>381</v>
      </c>
      <c r="B345" s="21">
        <v>25</v>
      </c>
      <c r="C345" s="21">
        <v>118333</v>
      </c>
      <c r="D345" s="21">
        <v>486</v>
      </c>
      <c r="E345" t="str">
        <f>VLOOKUP(Table13[[#This Row],[Credit_Score]],Table4[],2,TRUE)</f>
        <v>High Risk</v>
      </c>
      <c r="F345">
        <v>0.452140644640116</v>
      </c>
      <c r="G345" t="str">
        <f>IF(Table13[[#This Row],[Credit_Utilization]]&lt;0.3,"Low Utilization",
IF(Table13[[#This Row],[Credit_Utilization]]&lt;0.7,"Moderate Utilization",
"High Utilization"))</f>
        <v>Moderate Utilization</v>
      </c>
      <c r="H345" s="21">
        <v>3</v>
      </c>
      <c r="I345" s="21">
        <v>0</v>
      </c>
      <c r="J345" s="21">
        <v>72809</v>
      </c>
      <c r="K345">
        <v>0.20270791140087499</v>
      </c>
      <c r="L345" t="str">
        <f>IF(Table13[[#This Row],[Debt_to_Income_Ratio]]&lt;0.3,"Low DTI", IF(Table13[[#This Row],[Debt_to_Income_Ratio]]&lt;0.5,"Moderate DTI", "High DTI"))</f>
        <v>Low DTI</v>
      </c>
      <c r="M345" t="s">
        <v>43</v>
      </c>
      <c r="N345" s="21">
        <v>7</v>
      </c>
      <c r="O345" t="s">
        <v>45</v>
      </c>
      <c r="P345" t="s">
        <v>28</v>
      </c>
      <c r="Q345" t="s">
        <v>29</v>
      </c>
      <c r="R345" t="s">
        <v>29</v>
      </c>
      <c r="S345" t="s">
        <v>29</v>
      </c>
      <c r="T345" t="s">
        <v>29</v>
      </c>
      <c r="U345" t="s">
        <v>24</v>
      </c>
      <c r="V345" t="s">
        <v>23</v>
      </c>
    </row>
    <row r="346" spans="1:22">
      <c r="A346" t="s">
        <v>382</v>
      </c>
      <c r="B346" s="21">
        <v>53</v>
      </c>
      <c r="C346" s="21">
        <v>119573</v>
      </c>
      <c r="D346" s="21">
        <v>465</v>
      </c>
      <c r="E346" t="str">
        <f>VLOOKUP(Table13[[#This Row],[Credit_Score]],Table4[],2,TRUE)</f>
        <v>High Risk</v>
      </c>
      <c r="F346">
        <v>0.35643532278965501</v>
      </c>
      <c r="G346" t="str">
        <f>IF(Table13[[#This Row],[Credit_Utilization]]&lt;0.3,"Low Utilization",
IF(Table13[[#This Row],[Credit_Utilization]]&lt;0.7,"Moderate Utilization",
"High Utilization"))</f>
        <v>Moderate Utilization</v>
      </c>
      <c r="H346" s="21">
        <v>0</v>
      </c>
      <c r="I346" s="21">
        <v>0</v>
      </c>
      <c r="J346" s="21">
        <v>89660</v>
      </c>
      <c r="K346">
        <v>0.42129727292261798</v>
      </c>
      <c r="L346" t="str">
        <f>IF(Table13[[#This Row],[Debt_to_Income_Ratio]]&lt;0.3,"Low DTI", IF(Table13[[#This Row],[Debt_to_Income_Ratio]]&lt;0.5,"Moderate DTI", "High DTI"))</f>
        <v>Moderate DTI</v>
      </c>
      <c r="M346" t="s">
        <v>43</v>
      </c>
      <c r="N346" s="21">
        <v>15</v>
      </c>
      <c r="O346" t="s">
        <v>37</v>
      </c>
      <c r="P346" t="s">
        <v>32</v>
      </c>
      <c r="Q346" t="s">
        <v>29</v>
      </c>
      <c r="R346" t="s">
        <v>24</v>
      </c>
      <c r="S346" t="s">
        <v>29</v>
      </c>
      <c r="T346" t="s">
        <v>29</v>
      </c>
      <c r="U346" t="s">
        <v>29</v>
      </c>
      <c r="V346" t="s">
        <v>23</v>
      </c>
    </row>
    <row r="347" spans="1:22">
      <c r="A347" t="s">
        <v>383</v>
      </c>
      <c r="B347" s="21">
        <v>55</v>
      </c>
      <c r="C347" s="21">
        <v>136790</v>
      </c>
      <c r="D347" s="21">
        <v>655</v>
      </c>
      <c r="E347" t="str">
        <f>VLOOKUP(Table13[[#This Row],[Credit_Score]],Table4[],2,TRUE)</f>
        <v>Medium Risk</v>
      </c>
      <c r="F347">
        <v>0.40312781114552798</v>
      </c>
      <c r="G347" t="str">
        <f>IF(Table13[[#This Row],[Credit_Utilization]]&lt;0.3,"Low Utilization",
IF(Table13[[#This Row],[Credit_Utilization]]&lt;0.7,"Moderate Utilization",
"High Utilization"))</f>
        <v>Moderate Utilization</v>
      </c>
      <c r="H347" s="21">
        <v>4</v>
      </c>
      <c r="I347" s="21">
        <v>0</v>
      </c>
      <c r="J347" s="21">
        <v>42551</v>
      </c>
      <c r="K347">
        <v>0.17482423136382499</v>
      </c>
      <c r="L347" t="str">
        <f>IF(Table13[[#This Row],[Debt_to_Income_Ratio]]&lt;0.3,"Low DTI", IF(Table13[[#This Row],[Debt_to_Income_Ratio]]&lt;0.5,"Moderate DTI", "High DTI"))</f>
        <v>Low DTI</v>
      </c>
      <c r="M347" t="s">
        <v>43</v>
      </c>
      <c r="N347" s="21">
        <v>0</v>
      </c>
      <c r="O347" t="s">
        <v>31</v>
      </c>
      <c r="P347" t="s">
        <v>38</v>
      </c>
      <c r="Q347" t="s">
        <v>29</v>
      </c>
      <c r="R347" t="s">
        <v>29</v>
      </c>
      <c r="S347" t="s">
        <v>29</v>
      </c>
      <c r="T347" t="s">
        <v>23</v>
      </c>
      <c r="U347" t="s">
        <v>24</v>
      </c>
      <c r="V347" t="s">
        <v>24</v>
      </c>
    </row>
    <row r="348" spans="1:22">
      <c r="A348" t="s">
        <v>384</v>
      </c>
      <c r="B348" s="21">
        <v>57</v>
      </c>
      <c r="C348" s="21">
        <v>117023</v>
      </c>
      <c r="D348" s="21">
        <v>700</v>
      </c>
      <c r="E348" t="str">
        <f>VLOOKUP(Table13[[#This Row],[Credit_Score]],Table4[],2,TRUE)</f>
        <v>Medium Risk</v>
      </c>
      <c r="F348">
        <v>0.71061148660307505</v>
      </c>
      <c r="G348" t="str">
        <f>IF(Table13[[#This Row],[Credit_Utilization]]&lt;0.3,"Low Utilization",
IF(Table13[[#This Row],[Credit_Utilization]]&lt;0.7,"Moderate Utilization",
"High Utilization"))</f>
        <v>High Utilization</v>
      </c>
      <c r="H348" s="21">
        <v>1</v>
      </c>
      <c r="I348" s="21">
        <v>0</v>
      </c>
      <c r="J348" s="21">
        <v>89537</v>
      </c>
      <c r="K348">
        <v>0.33631822982912701</v>
      </c>
      <c r="L348" t="str">
        <f>IF(Table13[[#This Row],[Debt_to_Income_Ratio]]&lt;0.3,"Low DTI", IF(Table13[[#This Row],[Debt_to_Income_Ratio]]&lt;0.5,"Moderate DTI", "High DTI"))</f>
        <v>Moderate DTI</v>
      </c>
      <c r="M348" t="s">
        <v>43</v>
      </c>
      <c r="N348" s="21">
        <v>3</v>
      </c>
      <c r="O348" t="s">
        <v>31</v>
      </c>
      <c r="P348" t="s">
        <v>28</v>
      </c>
      <c r="Q348" t="s">
        <v>29</v>
      </c>
      <c r="R348" t="s">
        <v>23</v>
      </c>
      <c r="S348" t="s">
        <v>24</v>
      </c>
      <c r="T348" t="s">
        <v>24</v>
      </c>
      <c r="U348" t="s">
        <v>24</v>
      </c>
      <c r="V348" t="s">
        <v>24</v>
      </c>
    </row>
    <row r="349" spans="1:22">
      <c r="A349" t="s">
        <v>385</v>
      </c>
      <c r="B349" s="21">
        <v>37</v>
      </c>
      <c r="C349" s="21">
        <v>112007</v>
      </c>
      <c r="D349" s="21">
        <v>416</v>
      </c>
      <c r="E349" t="str">
        <f>VLOOKUP(Table13[[#This Row],[Credit_Score]],Table4[],2,TRUE)</f>
        <v>High Risk</v>
      </c>
      <c r="F349">
        <v>0.906661059720693</v>
      </c>
      <c r="G349" t="str">
        <f>IF(Table13[[#This Row],[Credit_Utilization]]&lt;0.3,"Low Utilization",
IF(Table13[[#This Row],[Credit_Utilization]]&lt;0.7,"Moderate Utilization",
"High Utilization"))</f>
        <v>High Utilization</v>
      </c>
      <c r="H349" s="21">
        <v>4</v>
      </c>
      <c r="I349" s="21">
        <v>0</v>
      </c>
      <c r="J349" s="21">
        <v>56061</v>
      </c>
      <c r="K349">
        <v>0.35195463297743901</v>
      </c>
      <c r="L349" t="str">
        <f>IF(Table13[[#This Row],[Debt_to_Income_Ratio]]&lt;0.3,"Low DTI", IF(Table13[[#This Row],[Debt_to_Income_Ratio]]&lt;0.5,"Moderate DTI", "High DTI"))</f>
        <v>Moderate DTI</v>
      </c>
      <c r="M349" t="s">
        <v>50</v>
      </c>
      <c r="N349" s="21">
        <v>9</v>
      </c>
      <c r="O349" t="s">
        <v>27</v>
      </c>
      <c r="P349" t="s">
        <v>32</v>
      </c>
      <c r="Q349" t="s">
        <v>23</v>
      </c>
      <c r="R349" t="s">
        <v>29</v>
      </c>
      <c r="S349" t="s">
        <v>23</v>
      </c>
      <c r="T349" t="s">
        <v>29</v>
      </c>
      <c r="U349" t="s">
        <v>23</v>
      </c>
      <c r="V349" t="s">
        <v>29</v>
      </c>
    </row>
    <row r="350" spans="1:22">
      <c r="A350" t="s">
        <v>386</v>
      </c>
      <c r="B350" s="21">
        <v>52</v>
      </c>
      <c r="C350" s="21">
        <v>99665</v>
      </c>
      <c r="D350" s="21">
        <v>789</v>
      </c>
      <c r="E350" t="str">
        <f>VLOOKUP(Table13[[#This Row],[Credit_Score]],Table4[],2,TRUE)</f>
        <v>Low Risk</v>
      </c>
      <c r="F350">
        <v>0.23724843726279299</v>
      </c>
      <c r="G350" t="str">
        <f>IF(Table13[[#This Row],[Credit_Utilization]]&lt;0.3,"Low Utilization",
IF(Table13[[#This Row],[Credit_Utilization]]&lt;0.7,"Moderate Utilization",
"High Utilization"))</f>
        <v>Low Utilization</v>
      </c>
      <c r="H350" s="21">
        <v>5</v>
      </c>
      <c r="I350" s="21">
        <v>0</v>
      </c>
      <c r="J350" s="21">
        <v>76567</v>
      </c>
      <c r="K350">
        <v>0.287872452416433</v>
      </c>
      <c r="L350" t="str">
        <f>IF(Table13[[#This Row],[Debt_to_Income_Ratio]]&lt;0.3,"Low DTI", IF(Table13[[#This Row],[Debt_to_Income_Ratio]]&lt;0.5,"Moderate DTI", "High DTI"))</f>
        <v>Low DTI</v>
      </c>
      <c r="M350" t="s">
        <v>26</v>
      </c>
      <c r="N350" s="21">
        <v>10</v>
      </c>
      <c r="O350" t="s">
        <v>37</v>
      </c>
      <c r="P350" t="s">
        <v>53</v>
      </c>
      <c r="Q350" t="s">
        <v>24</v>
      </c>
      <c r="R350" t="s">
        <v>29</v>
      </c>
      <c r="S350" t="s">
        <v>24</v>
      </c>
      <c r="T350" t="s">
        <v>24</v>
      </c>
      <c r="U350" t="s">
        <v>29</v>
      </c>
      <c r="V350" t="s">
        <v>29</v>
      </c>
    </row>
    <row r="351" spans="1:22">
      <c r="A351" t="s">
        <v>387</v>
      </c>
      <c r="B351" s="21">
        <v>65</v>
      </c>
      <c r="C351" s="21">
        <v>38289</v>
      </c>
      <c r="D351" s="21">
        <v>493</v>
      </c>
      <c r="E351" t="str">
        <f>VLOOKUP(Table13[[#This Row],[Credit_Score]],Table4[],2,TRUE)</f>
        <v>High Risk</v>
      </c>
      <c r="F351">
        <v>0.28093967698602801</v>
      </c>
      <c r="G351" t="str">
        <f>IF(Table13[[#This Row],[Credit_Utilization]]&lt;0.3,"Low Utilization",
IF(Table13[[#This Row],[Credit_Utilization]]&lt;0.7,"Moderate Utilization",
"High Utilization"))</f>
        <v>Low Utilization</v>
      </c>
      <c r="H351" s="21">
        <v>2</v>
      </c>
      <c r="I351" s="21">
        <v>0</v>
      </c>
      <c r="J351" s="21">
        <v>79013</v>
      </c>
      <c r="K351">
        <v>0.47678290584051702</v>
      </c>
      <c r="L351" t="str">
        <f>IF(Table13[[#This Row],[Debt_to_Income_Ratio]]&lt;0.3,"Low DTI", IF(Table13[[#This Row],[Debt_to_Income_Ratio]]&lt;0.5,"Moderate DTI", "High DTI"))</f>
        <v>Moderate DTI</v>
      </c>
      <c r="M351" t="s">
        <v>26</v>
      </c>
      <c r="N351" s="21">
        <v>16</v>
      </c>
      <c r="O351" t="s">
        <v>27</v>
      </c>
      <c r="P351" t="s">
        <v>28</v>
      </c>
      <c r="Q351" t="s">
        <v>29</v>
      </c>
      <c r="R351" t="s">
        <v>24</v>
      </c>
      <c r="S351" t="s">
        <v>23</v>
      </c>
      <c r="T351" t="s">
        <v>23</v>
      </c>
      <c r="U351" t="s">
        <v>29</v>
      </c>
      <c r="V351" t="s">
        <v>23</v>
      </c>
    </row>
    <row r="352" spans="1:22">
      <c r="A352" t="s">
        <v>388</v>
      </c>
      <c r="B352" s="21">
        <v>42</v>
      </c>
      <c r="C352" s="21">
        <v>167424</v>
      </c>
      <c r="D352" s="21">
        <v>341</v>
      </c>
      <c r="E352" t="str">
        <f>VLOOKUP(Table13[[#This Row],[Credit_Score]],Table4[],2,TRUE)</f>
        <v>High Risk</v>
      </c>
      <c r="F352">
        <v>0.46624064265956999</v>
      </c>
      <c r="G352" t="str">
        <f>IF(Table13[[#This Row],[Credit_Utilization]]&lt;0.3,"Low Utilization",
IF(Table13[[#This Row],[Credit_Utilization]]&lt;0.7,"Moderate Utilization",
"High Utilization"))</f>
        <v>Moderate Utilization</v>
      </c>
      <c r="H352" s="21">
        <v>2</v>
      </c>
      <c r="I352" s="21">
        <v>1</v>
      </c>
      <c r="J352" s="21">
        <v>52259</v>
      </c>
      <c r="K352">
        <v>0.35017189930276899</v>
      </c>
      <c r="L352" t="str">
        <f>IF(Table13[[#This Row],[Debt_to_Income_Ratio]]&lt;0.3,"Low DTI", IF(Table13[[#This Row],[Debt_to_Income_Ratio]]&lt;0.5,"Moderate DTI", "High DTI"))</f>
        <v>Moderate DTI</v>
      </c>
      <c r="M352" t="s">
        <v>26</v>
      </c>
      <c r="N352" s="21">
        <v>6</v>
      </c>
      <c r="O352" t="s">
        <v>21</v>
      </c>
      <c r="P352" t="s">
        <v>32</v>
      </c>
      <c r="Q352" t="s">
        <v>24</v>
      </c>
      <c r="R352" t="s">
        <v>29</v>
      </c>
      <c r="S352" t="s">
        <v>23</v>
      </c>
      <c r="T352" t="s">
        <v>29</v>
      </c>
      <c r="U352" t="s">
        <v>23</v>
      </c>
      <c r="V352" t="s">
        <v>24</v>
      </c>
    </row>
    <row r="353" spans="1:22">
      <c r="A353" t="s">
        <v>389</v>
      </c>
      <c r="B353" s="21">
        <v>52</v>
      </c>
      <c r="C353" s="21">
        <v>98613</v>
      </c>
      <c r="D353" s="21">
        <v>820</v>
      </c>
      <c r="E353" t="str">
        <f>VLOOKUP(Table13[[#This Row],[Credit_Score]],Table4[],2,TRUE)</f>
        <v>Low Risk</v>
      </c>
      <c r="F353">
        <v>0.522191219213608</v>
      </c>
      <c r="G353" t="str">
        <f>IF(Table13[[#This Row],[Credit_Utilization]]&lt;0.3,"Low Utilization",
IF(Table13[[#This Row],[Credit_Utilization]]&lt;0.7,"Moderate Utilization",
"High Utilization"))</f>
        <v>Moderate Utilization</v>
      </c>
      <c r="H353" s="21">
        <v>2</v>
      </c>
      <c r="I353" s="21">
        <v>0</v>
      </c>
      <c r="J353" s="21">
        <v>2200</v>
      </c>
      <c r="K353">
        <v>0.48429030483046498</v>
      </c>
      <c r="L353" t="str">
        <f>IF(Table13[[#This Row],[Debt_to_Income_Ratio]]&lt;0.3,"Low DTI", IF(Table13[[#This Row],[Debt_to_Income_Ratio]]&lt;0.5,"Moderate DTI", "High DTI"))</f>
        <v>Moderate DTI</v>
      </c>
      <c r="M353" t="s">
        <v>26</v>
      </c>
      <c r="N353" s="21">
        <v>11</v>
      </c>
      <c r="O353" t="s">
        <v>45</v>
      </c>
      <c r="P353" t="s">
        <v>28</v>
      </c>
      <c r="Q353" t="s">
        <v>24</v>
      </c>
      <c r="R353" t="s">
        <v>23</v>
      </c>
      <c r="S353" t="s">
        <v>23</v>
      </c>
      <c r="T353" t="s">
        <v>23</v>
      </c>
      <c r="U353" t="s">
        <v>23</v>
      </c>
      <c r="V353" t="s">
        <v>24</v>
      </c>
    </row>
    <row r="354" spans="1:22">
      <c r="A354" t="s">
        <v>390</v>
      </c>
      <c r="B354" s="21">
        <v>42</v>
      </c>
      <c r="C354" s="21">
        <v>176426</v>
      </c>
      <c r="D354" s="21">
        <v>736</v>
      </c>
      <c r="E354" t="str">
        <f>VLOOKUP(Table13[[#This Row],[Credit_Score]],Table4[],2,TRUE)</f>
        <v>Medium Risk</v>
      </c>
      <c r="F354">
        <v>0.65739391311099904</v>
      </c>
      <c r="G354" t="str">
        <f>IF(Table13[[#This Row],[Credit_Utilization]]&lt;0.3,"Low Utilization",
IF(Table13[[#This Row],[Credit_Utilization]]&lt;0.7,"Moderate Utilization",
"High Utilization"))</f>
        <v>Moderate Utilization</v>
      </c>
      <c r="H354" s="21">
        <v>4</v>
      </c>
      <c r="I354" s="21">
        <v>0</v>
      </c>
      <c r="J354" s="21">
        <v>47695</v>
      </c>
      <c r="K354">
        <v>0.23489359980851199</v>
      </c>
      <c r="L354" t="str">
        <f>IF(Table13[[#This Row],[Debt_to_Income_Ratio]]&lt;0.3,"Low DTI", IF(Table13[[#This Row],[Debt_to_Income_Ratio]]&lt;0.5,"Moderate DTI", "High DTI"))</f>
        <v>Low DTI</v>
      </c>
      <c r="M354" t="s">
        <v>43</v>
      </c>
      <c r="N354" s="21">
        <v>6</v>
      </c>
      <c r="O354" t="s">
        <v>27</v>
      </c>
      <c r="P354" t="s">
        <v>22</v>
      </c>
      <c r="Q354" t="s">
        <v>24</v>
      </c>
      <c r="R354" t="s">
        <v>24</v>
      </c>
      <c r="S354" t="s">
        <v>23</v>
      </c>
      <c r="T354" t="s">
        <v>23</v>
      </c>
      <c r="U354" t="s">
        <v>29</v>
      </c>
      <c r="V354" t="s">
        <v>24</v>
      </c>
    </row>
    <row r="355" spans="1:22">
      <c r="A355" t="s">
        <v>391</v>
      </c>
      <c r="B355" s="21">
        <v>46</v>
      </c>
      <c r="C355" s="21">
        <v>33017</v>
      </c>
      <c r="D355" s="21">
        <v>622</v>
      </c>
      <c r="E355" t="str">
        <f>VLOOKUP(Table13[[#This Row],[Credit_Score]],Table4[],2,TRUE)</f>
        <v>Medium Risk</v>
      </c>
      <c r="F355">
        <v>0.32177339827970203</v>
      </c>
      <c r="G355" t="str">
        <f>IF(Table13[[#This Row],[Credit_Utilization]]&lt;0.3,"Low Utilization",
IF(Table13[[#This Row],[Credit_Utilization]]&lt;0.7,"Moderate Utilization",
"High Utilization"))</f>
        <v>Moderate Utilization</v>
      </c>
      <c r="H355" s="21">
        <v>3</v>
      </c>
      <c r="I355" s="21">
        <v>0</v>
      </c>
      <c r="J355" s="21">
        <v>86828</v>
      </c>
      <c r="K355">
        <v>0.23660545901065799</v>
      </c>
      <c r="L355" t="str">
        <f>IF(Table13[[#This Row],[Debt_to_Income_Ratio]]&lt;0.3,"Low DTI", IF(Table13[[#This Row],[Debt_to_Income_Ratio]]&lt;0.5,"Moderate DTI", "High DTI"))</f>
        <v>Low DTI</v>
      </c>
      <c r="M355" t="s">
        <v>26</v>
      </c>
      <c r="N355" s="21">
        <v>11</v>
      </c>
      <c r="O355" t="s">
        <v>45</v>
      </c>
      <c r="P355" t="s">
        <v>32</v>
      </c>
      <c r="Q355" t="s">
        <v>29</v>
      </c>
      <c r="R355" t="s">
        <v>24</v>
      </c>
      <c r="S355" t="s">
        <v>29</v>
      </c>
      <c r="T355" t="s">
        <v>24</v>
      </c>
      <c r="U355" t="s">
        <v>24</v>
      </c>
      <c r="V355" t="s">
        <v>23</v>
      </c>
    </row>
    <row r="356" spans="1:22">
      <c r="A356" t="s">
        <v>392</v>
      </c>
      <c r="B356" s="21">
        <v>35</v>
      </c>
      <c r="C356" s="21">
        <v>52744</v>
      </c>
      <c r="D356" s="21">
        <v>700</v>
      </c>
      <c r="E356" t="str">
        <f>VLOOKUP(Table13[[#This Row],[Credit_Score]],Table4[],2,TRUE)</f>
        <v>Medium Risk</v>
      </c>
      <c r="F356">
        <v>0.287378192670107</v>
      </c>
      <c r="G356" t="str">
        <f>IF(Table13[[#This Row],[Credit_Utilization]]&lt;0.3,"Low Utilization",
IF(Table13[[#This Row],[Credit_Utilization]]&lt;0.7,"Moderate Utilization",
"High Utilization"))</f>
        <v>Low Utilization</v>
      </c>
      <c r="H356" s="21">
        <v>1</v>
      </c>
      <c r="I356" s="21">
        <v>0</v>
      </c>
      <c r="J356" s="21">
        <v>24623</v>
      </c>
      <c r="K356">
        <v>0.35275371586800103</v>
      </c>
      <c r="L356" t="str">
        <f>IF(Table13[[#This Row],[Debt_to_Income_Ratio]]&lt;0.3,"Low DTI", IF(Table13[[#This Row],[Debt_to_Income_Ratio]]&lt;0.5,"Moderate DTI", "High DTI"))</f>
        <v>Moderate DTI</v>
      </c>
      <c r="M356" t="s">
        <v>43</v>
      </c>
      <c r="N356" s="21">
        <v>14</v>
      </c>
      <c r="O356" t="s">
        <v>37</v>
      </c>
      <c r="P356" t="s">
        <v>22</v>
      </c>
      <c r="Q356" t="s">
        <v>24</v>
      </c>
      <c r="R356" t="s">
        <v>29</v>
      </c>
      <c r="S356" t="s">
        <v>24</v>
      </c>
      <c r="T356" t="s">
        <v>29</v>
      </c>
      <c r="U356" t="s">
        <v>29</v>
      </c>
      <c r="V356" t="s">
        <v>23</v>
      </c>
    </row>
    <row r="357" spans="1:22">
      <c r="A357" t="s">
        <v>393</v>
      </c>
      <c r="B357" s="21">
        <v>63</v>
      </c>
      <c r="C357" s="21">
        <v>149415</v>
      </c>
      <c r="D357" s="21">
        <v>385</v>
      </c>
      <c r="E357" t="str">
        <f>VLOOKUP(Table13[[#This Row],[Credit_Score]],Table4[],2,TRUE)</f>
        <v>High Risk</v>
      </c>
      <c r="F357">
        <v>0.52761743062672595</v>
      </c>
      <c r="G357" t="str">
        <f>IF(Table13[[#This Row],[Credit_Utilization]]&lt;0.3,"Low Utilization",
IF(Table13[[#This Row],[Credit_Utilization]]&lt;0.7,"Moderate Utilization",
"High Utilization"))</f>
        <v>Moderate Utilization</v>
      </c>
      <c r="H357" s="21">
        <v>2</v>
      </c>
      <c r="I357" s="21">
        <v>1</v>
      </c>
      <c r="J357" s="21">
        <v>4265</v>
      </c>
      <c r="K357">
        <v>0.27385343626807901</v>
      </c>
      <c r="L357" t="str">
        <f>IF(Table13[[#This Row],[Debt_to_Income_Ratio]]&lt;0.3,"Low DTI", IF(Table13[[#This Row],[Debt_to_Income_Ratio]]&lt;0.5,"Moderate DTI", "High DTI"))</f>
        <v>Low DTI</v>
      </c>
      <c r="M357" t="s">
        <v>43</v>
      </c>
      <c r="N357" s="21">
        <v>1</v>
      </c>
      <c r="O357" t="s">
        <v>21</v>
      </c>
      <c r="P357" t="s">
        <v>22</v>
      </c>
      <c r="Q357" t="s">
        <v>29</v>
      </c>
      <c r="R357" t="s">
        <v>29</v>
      </c>
      <c r="S357" t="s">
        <v>24</v>
      </c>
      <c r="T357" t="s">
        <v>23</v>
      </c>
      <c r="U357" t="s">
        <v>24</v>
      </c>
      <c r="V357" t="s">
        <v>23</v>
      </c>
    </row>
    <row r="358" spans="1:22">
      <c r="A358" t="s">
        <v>394</v>
      </c>
      <c r="B358" s="21">
        <v>35</v>
      </c>
      <c r="C358" s="21">
        <v>32955</v>
      </c>
      <c r="D358" s="21">
        <v>359</v>
      </c>
      <c r="E358" t="str">
        <f>VLOOKUP(Table13[[#This Row],[Credit_Score]],Table4[],2,TRUE)</f>
        <v>High Risk</v>
      </c>
      <c r="F358">
        <v>0.44831985595856599</v>
      </c>
      <c r="G358" t="str">
        <f>IF(Table13[[#This Row],[Credit_Utilization]]&lt;0.3,"Low Utilization",
IF(Table13[[#This Row],[Credit_Utilization]]&lt;0.7,"Moderate Utilization",
"High Utilization"))</f>
        <v>Moderate Utilization</v>
      </c>
      <c r="H358" s="21">
        <v>5</v>
      </c>
      <c r="I358" s="21">
        <v>1</v>
      </c>
      <c r="J358" s="21">
        <v>77348</v>
      </c>
      <c r="K358">
        <v>0.46856654248920099</v>
      </c>
      <c r="L358" t="str">
        <f>IF(Table13[[#This Row],[Debt_to_Income_Ratio]]&lt;0.3,"Low DTI", IF(Table13[[#This Row],[Debt_to_Income_Ratio]]&lt;0.5,"Moderate DTI", "High DTI"))</f>
        <v>Moderate DTI</v>
      </c>
      <c r="M358" t="s">
        <v>26</v>
      </c>
      <c r="N358" s="21">
        <v>13</v>
      </c>
      <c r="O358" t="s">
        <v>37</v>
      </c>
      <c r="P358" t="s">
        <v>32</v>
      </c>
      <c r="Q358" t="s">
        <v>24</v>
      </c>
      <c r="R358" t="s">
        <v>29</v>
      </c>
      <c r="S358" t="s">
        <v>24</v>
      </c>
      <c r="T358" t="s">
        <v>29</v>
      </c>
      <c r="U358" t="s">
        <v>23</v>
      </c>
      <c r="V358" t="s">
        <v>24</v>
      </c>
    </row>
    <row r="359" spans="1:22">
      <c r="A359" t="s">
        <v>395</v>
      </c>
      <c r="B359" s="21">
        <v>19</v>
      </c>
      <c r="C359" s="21">
        <v>36677</v>
      </c>
      <c r="D359" s="21">
        <v>611</v>
      </c>
      <c r="E359" t="str">
        <f>VLOOKUP(Table13[[#This Row],[Credit_Score]],Table4[],2,TRUE)</f>
        <v>Medium Risk</v>
      </c>
      <c r="F359">
        <v>0.68534419955430503</v>
      </c>
      <c r="G359" t="str">
        <f>IF(Table13[[#This Row],[Credit_Utilization]]&lt;0.3,"Low Utilization",
IF(Table13[[#This Row],[Credit_Utilization]]&lt;0.7,"Moderate Utilization",
"High Utilization"))</f>
        <v>Moderate Utilization</v>
      </c>
      <c r="H359" s="21">
        <v>5</v>
      </c>
      <c r="I359" s="21">
        <v>1</v>
      </c>
      <c r="J359" s="21">
        <v>11251</v>
      </c>
      <c r="K359">
        <v>0.334170038363093</v>
      </c>
      <c r="L359" t="str">
        <f>IF(Table13[[#This Row],[Debt_to_Income_Ratio]]&lt;0.3,"Low DTI", IF(Table13[[#This Row],[Debt_to_Income_Ratio]]&lt;0.5,"Moderate DTI", "High DTI"))</f>
        <v>Moderate DTI</v>
      </c>
      <c r="M359" t="s">
        <v>43</v>
      </c>
      <c r="N359" s="21">
        <v>12</v>
      </c>
      <c r="O359" t="s">
        <v>21</v>
      </c>
      <c r="P359" t="s">
        <v>38</v>
      </c>
      <c r="Q359" t="s">
        <v>24</v>
      </c>
      <c r="R359" t="s">
        <v>29</v>
      </c>
      <c r="S359" t="s">
        <v>23</v>
      </c>
      <c r="T359" t="s">
        <v>29</v>
      </c>
      <c r="U359" t="s">
        <v>23</v>
      </c>
      <c r="V359" t="s">
        <v>29</v>
      </c>
    </row>
    <row r="360" spans="1:22">
      <c r="A360" t="s">
        <v>396</v>
      </c>
      <c r="B360" s="21">
        <v>71</v>
      </c>
      <c r="C360" s="21">
        <v>198062</v>
      </c>
      <c r="D360" s="21">
        <v>538</v>
      </c>
      <c r="E360" t="str">
        <f>VLOOKUP(Table13[[#This Row],[Credit_Score]],Table4[],2,TRUE)</f>
        <v>High Risk</v>
      </c>
      <c r="F360">
        <v>0.59747196063807595</v>
      </c>
      <c r="G360" t="str">
        <f>IF(Table13[[#This Row],[Credit_Utilization]]&lt;0.3,"Low Utilization",
IF(Table13[[#This Row],[Credit_Utilization]]&lt;0.7,"Moderate Utilization",
"High Utilization"))</f>
        <v>Moderate Utilization</v>
      </c>
      <c r="H360" s="21">
        <v>2</v>
      </c>
      <c r="I360" s="21">
        <v>0</v>
      </c>
      <c r="J360" s="21">
        <v>25807</v>
      </c>
      <c r="K360">
        <v>0.19554257801432801</v>
      </c>
      <c r="L360" t="str">
        <f>IF(Table13[[#This Row],[Debt_to_Income_Ratio]]&lt;0.3,"Low DTI", IF(Table13[[#This Row],[Debt_to_Income_Ratio]]&lt;0.5,"Moderate DTI", "High DTI"))</f>
        <v>Low DTI</v>
      </c>
      <c r="M360" t="s">
        <v>34</v>
      </c>
      <c r="N360" s="21">
        <v>3</v>
      </c>
      <c r="O360" t="s">
        <v>21</v>
      </c>
      <c r="P360" t="s">
        <v>32</v>
      </c>
      <c r="Q360" t="s">
        <v>29</v>
      </c>
      <c r="R360" t="s">
        <v>29</v>
      </c>
      <c r="S360" t="s">
        <v>24</v>
      </c>
      <c r="T360" t="s">
        <v>24</v>
      </c>
      <c r="U360" t="s">
        <v>29</v>
      </c>
      <c r="V360" t="s">
        <v>24</v>
      </c>
    </row>
    <row r="361" spans="1:22">
      <c r="A361" t="s">
        <v>397</v>
      </c>
      <c r="B361" s="21">
        <v>52</v>
      </c>
      <c r="C361" s="21">
        <v>137402</v>
      </c>
      <c r="D361" s="21">
        <v>617</v>
      </c>
      <c r="E361" t="str">
        <f>VLOOKUP(Table13[[#This Row],[Credit_Score]],Table4[],2,TRUE)</f>
        <v>Medium Risk</v>
      </c>
      <c r="F361">
        <v>0.61107586952664295</v>
      </c>
      <c r="G361" t="str">
        <f>IF(Table13[[#This Row],[Credit_Utilization]]&lt;0.3,"Low Utilization",
IF(Table13[[#This Row],[Credit_Utilization]]&lt;0.7,"Moderate Utilization",
"High Utilization"))</f>
        <v>Moderate Utilization</v>
      </c>
      <c r="H361" s="21">
        <v>2</v>
      </c>
      <c r="I361" s="21">
        <v>0</v>
      </c>
      <c r="J361" s="21">
        <v>78035</v>
      </c>
      <c r="K361">
        <v>0.126318359145597</v>
      </c>
      <c r="L361" t="str">
        <f>IF(Table13[[#This Row],[Debt_to_Income_Ratio]]&lt;0.3,"Low DTI", IF(Table13[[#This Row],[Debt_to_Income_Ratio]]&lt;0.5,"Moderate DTI", "High DTI"))</f>
        <v>Low DTI</v>
      </c>
      <c r="M361" t="s">
        <v>34</v>
      </c>
      <c r="N361" s="21">
        <v>13</v>
      </c>
      <c r="O361" t="s">
        <v>45</v>
      </c>
      <c r="P361" t="s">
        <v>38</v>
      </c>
      <c r="Q361" t="s">
        <v>24</v>
      </c>
      <c r="R361" t="s">
        <v>29</v>
      </c>
      <c r="S361" t="s">
        <v>29</v>
      </c>
      <c r="T361" t="s">
        <v>24</v>
      </c>
      <c r="U361" t="s">
        <v>23</v>
      </c>
      <c r="V361" t="s">
        <v>23</v>
      </c>
    </row>
    <row r="362" spans="1:22">
      <c r="A362" t="s">
        <v>398</v>
      </c>
      <c r="B362" s="21">
        <v>33</v>
      </c>
      <c r="C362" s="21">
        <v>38524</v>
      </c>
      <c r="D362" s="21">
        <v>311</v>
      </c>
      <c r="E362" t="str">
        <f>VLOOKUP(Table13[[#This Row],[Credit_Score]],Table4[],2,TRUE)</f>
        <v>High Risk</v>
      </c>
      <c r="F362">
        <v>0.47910373072462598</v>
      </c>
      <c r="G362" t="str">
        <f>IF(Table13[[#This Row],[Credit_Utilization]]&lt;0.3,"Low Utilization",
IF(Table13[[#This Row],[Credit_Utilization]]&lt;0.7,"Moderate Utilization",
"High Utilization"))</f>
        <v>Moderate Utilization</v>
      </c>
      <c r="H362" s="21">
        <v>1</v>
      </c>
      <c r="I362" s="21">
        <v>0</v>
      </c>
      <c r="J362" s="21">
        <v>68998</v>
      </c>
      <c r="K362">
        <v>0.292176140765673</v>
      </c>
      <c r="L362" t="str">
        <f>IF(Table13[[#This Row],[Debt_to_Income_Ratio]]&lt;0.3,"Low DTI", IF(Table13[[#This Row],[Debt_to_Income_Ratio]]&lt;0.5,"Moderate DTI", "High DTI"))</f>
        <v>Low DTI</v>
      </c>
      <c r="M362" t="s">
        <v>34</v>
      </c>
      <c r="N362" s="21">
        <v>13</v>
      </c>
      <c r="O362" t="s">
        <v>37</v>
      </c>
      <c r="P362" t="s">
        <v>28</v>
      </c>
      <c r="Q362" t="s">
        <v>29</v>
      </c>
      <c r="R362" t="s">
        <v>24</v>
      </c>
      <c r="S362" t="s">
        <v>23</v>
      </c>
      <c r="T362" t="s">
        <v>29</v>
      </c>
      <c r="U362" t="s">
        <v>29</v>
      </c>
      <c r="V362" t="s">
        <v>24</v>
      </c>
    </row>
    <row r="363" spans="1:22">
      <c r="A363" t="s">
        <v>399</v>
      </c>
      <c r="B363" s="21">
        <v>58</v>
      </c>
      <c r="C363" s="21">
        <v>180421</v>
      </c>
      <c r="D363" s="21">
        <v>679</v>
      </c>
      <c r="E363" t="str">
        <f>VLOOKUP(Table13[[#This Row],[Credit_Score]],Table4[],2,TRUE)</f>
        <v>Medium Risk</v>
      </c>
      <c r="F363">
        <v>0.97111605171364102</v>
      </c>
      <c r="G363" t="str">
        <f>IF(Table13[[#This Row],[Credit_Utilization]]&lt;0.3,"Low Utilization",
IF(Table13[[#This Row],[Credit_Utilization]]&lt;0.7,"Moderate Utilization",
"High Utilization"))</f>
        <v>High Utilization</v>
      </c>
      <c r="H363" s="21">
        <v>2</v>
      </c>
      <c r="I363" s="21">
        <v>0</v>
      </c>
      <c r="J363" s="21">
        <v>53553</v>
      </c>
      <c r="K363">
        <v>0.29108768704667598</v>
      </c>
      <c r="L363" t="str">
        <f>IF(Table13[[#This Row],[Debt_to_Income_Ratio]]&lt;0.3,"Low DTI", IF(Table13[[#This Row],[Debt_to_Income_Ratio]]&lt;0.5,"Moderate DTI", "High DTI"))</f>
        <v>Low DTI</v>
      </c>
      <c r="M363" t="s">
        <v>43</v>
      </c>
      <c r="N363" s="21">
        <v>15</v>
      </c>
      <c r="O363" t="s">
        <v>37</v>
      </c>
      <c r="P363" t="s">
        <v>28</v>
      </c>
      <c r="Q363" t="s">
        <v>23</v>
      </c>
      <c r="R363" t="s">
        <v>24</v>
      </c>
      <c r="S363" t="s">
        <v>23</v>
      </c>
      <c r="T363" t="s">
        <v>29</v>
      </c>
      <c r="U363" t="s">
        <v>29</v>
      </c>
      <c r="V363" t="s">
        <v>23</v>
      </c>
    </row>
    <row r="364" spans="1:22">
      <c r="A364" t="s">
        <v>400</v>
      </c>
      <c r="B364" s="21">
        <v>53</v>
      </c>
      <c r="C364" s="21">
        <v>107193</v>
      </c>
      <c r="D364" s="21">
        <v>316</v>
      </c>
      <c r="E364" t="str">
        <f>VLOOKUP(Table13[[#This Row],[Credit_Score]],Table4[],2,TRUE)</f>
        <v>High Risk</v>
      </c>
      <c r="F364">
        <v>0.33245040368124801</v>
      </c>
      <c r="G364" t="str">
        <f>IF(Table13[[#This Row],[Credit_Utilization]]&lt;0.3,"Low Utilization",
IF(Table13[[#This Row],[Credit_Utilization]]&lt;0.7,"Moderate Utilization",
"High Utilization"))</f>
        <v>Moderate Utilization</v>
      </c>
      <c r="H364" s="21">
        <v>1</v>
      </c>
      <c r="I364" s="21">
        <v>1</v>
      </c>
      <c r="J364" s="21">
        <v>86447</v>
      </c>
      <c r="K364">
        <v>0.33137659233083799</v>
      </c>
      <c r="L364" t="str">
        <f>IF(Table13[[#This Row],[Debt_to_Income_Ratio]]&lt;0.3,"Low DTI", IF(Table13[[#This Row],[Debt_to_Income_Ratio]]&lt;0.5,"Moderate DTI", "High DTI"))</f>
        <v>Moderate DTI</v>
      </c>
      <c r="M364" t="s">
        <v>26</v>
      </c>
      <c r="N364" s="21">
        <v>6</v>
      </c>
      <c r="O364" t="s">
        <v>27</v>
      </c>
      <c r="P364" t="s">
        <v>32</v>
      </c>
      <c r="Q364" t="s">
        <v>24</v>
      </c>
      <c r="R364" t="s">
        <v>24</v>
      </c>
      <c r="S364" t="s">
        <v>24</v>
      </c>
      <c r="T364" t="s">
        <v>24</v>
      </c>
      <c r="U364" t="s">
        <v>23</v>
      </c>
      <c r="V364" t="s">
        <v>24</v>
      </c>
    </row>
    <row r="365" spans="1:22">
      <c r="A365" t="s">
        <v>401</v>
      </c>
      <c r="B365" s="21">
        <v>50</v>
      </c>
      <c r="C365" s="21">
        <v>21949</v>
      </c>
      <c r="D365" s="21">
        <v>682</v>
      </c>
      <c r="E365" t="str">
        <f>VLOOKUP(Table13[[#This Row],[Credit_Score]],Table4[],2,TRUE)</f>
        <v>Medium Risk</v>
      </c>
      <c r="F365">
        <v>0.62216196675095503</v>
      </c>
      <c r="G365" t="str">
        <f>IF(Table13[[#This Row],[Credit_Utilization]]&lt;0.3,"Low Utilization",
IF(Table13[[#This Row],[Credit_Utilization]]&lt;0.7,"Moderate Utilization",
"High Utilization"))</f>
        <v>Moderate Utilization</v>
      </c>
      <c r="H365" s="21">
        <v>5</v>
      </c>
      <c r="I365" s="21">
        <v>0</v>
      </c>
      <c r="J365" s="21">
        <v>31449</v>
      </c>
      <c r="K365">
        <v>0.42106905737558997</v>
      </c>
      <c r="L365" t="str">
        <f>IF(Table13[[#This Row],[Debt_to_Income_Ratio]]&lt;0.3,"Low DTI", IF(Table13[[#This Row],[Debt_to_Income_Ratio]]&lt;0.5,"Moderate DTI", "High DTI"))</f>
        <v>Moderate DTI</v>
      </c>
      <c r="M365" t="s">
        <v>50</v>
      </c>
      <c r="N365" s="21">
        <v>18</v>
      </c>
      <c r="O365" t="s">
        <v>37</v>
      </c>
      <c r="P365" t="s">
        <v>28</v>
      </c>
      <c r="Q365" t="s">
        <v>23</v>
      </c>
      <c r="R365" t="s">
        <v>29</v>
      </c>
      <c r="S365" t="s">
        <v>29</v>
      </c>
      <c r="T365" t="s">
        <v>23</v>
      </c>
      <c r="U365" t="s">
        <v>24</v>
      </c>
      <c r="V365" t="s">
        <v>23</v>
      </c>
    </row>
    <row r="366" spans="1:22">
      <c r="A366" t="s">
        <v>402</v>
      </c>
      <c r="B366" s="21">
        <v>21</v>
      </c>
      <c r="C366" s="21">
        <v>34870</v>
      </c>
      <c r="D366" s="21">
        <v>622</v>
      </c>
      <c r="E366" t="str">
        <f>VLOOKUP(Table13[[#This Row],[Credit_Score]],Table4[],2,TRUE)</f>
        <v>Medium Risk</v>
      </c>
      <c r="F366">
        <v>0.246062002585378</v>
      </c>
      <c r="G366" t="str">
        <f>IF(Table13[[#This Row],[Credit_Utilization]]&lt;0.3,"Low Utilization",
IF(Table13[[#This Row],[Credit_Utilization]]&lt;0.7,"Moderate Utilization",
"High Utilization"))</f>
        <v>Low Utilization</v>
      </c>
      <c r="H366" s="21">
        <v>2</v>
      </c>
      <c r="I366" s="21">
        <v>0</v>
      </c>
      <c r="J366" s="21">
        <v>13761</v>
      </c>
      <c r="K366">
        <v>0.40791133039939198</v>
      </c>
      <c r="L366" t="str">
        <f>IF(Table13[[#This Row],[Debt_to_Income_Ratio]]&lt;0.3,"Low DTI", IF(Table13[[#This Row],[Debt_to_Income_Ratio]]&lt;0.5,"Moderate DTI", "High DTI"))</f>
        <v>Moderate DTI</v>
      </c>
      <c r="M366" t="s">
        <v>50</v>
      </c>
      <c r="N366" s="21">
        <v>1</v>
      </c>
      <c r="O366" t="s">
        <v>27</v>
      </c>
      <c r="P366" t="s">
        <v>53</v>
      </c>
      <c r="Q366" t="s">
        <v>24</v>
      </c>
      <c r="R366" t="s">
        <v>29</v>
      </c>
      <c r="S366" t="s">
        <v>23</v>
      </c>
      <c r="T366" t="s">
        <v>23</v>
      </c>
      <c r="U366" t="s">
        <v>29</v>
      </c>
      <c r="V366" t="s">
        <v>23</v>
      </c>
    </row>
    <row r="367" spans="1:22">
      <c r="A367" t="s">
        <v>403</v>
      </c>
      <c r="B367" s="21">
        <v>50</v>
      </c>
      <c r="C367" s="21">
        <v>59811</v>
      </c>
      <c r="D367" s="21">
        <v>475</v>
      </c>
      <c r="E367" t="str">
        <f>VLOOKUP(Table13[[#This Row],[Credit_Score]],Table4[],2,TRUE)</f>
        <v>High Risk</v>
      </c>
      <c r="F367">
        <v>0.285306464452109</v>
      </c>
      <c r="G367" t="str">
        <f>IF(Table13[[#This Row],[Credit_Utilization]]&lt;0.3,"Low Utilization",
IF(Table13[[#This Row],[Credit_Utilization]]&lt;0.7,"Moderate Utilization",
"High Utilization"))</f>
        <v>Low Utilization</v>
      </c>
      <c r="H367" s="21">
        <v>4</v>
      </c>
      <c r="I367" s="21">
        <v>0</v>
      </c>
      <c r="J367" s="21">
        <v>23125</v>
      </c>
      <c r="K367">
        <v>0.242109896766356</v>
      </c>
      <c r="L367" t="str">
        <f>IF(Table13[[#This Row],[Debt_to_Income_Ratio]]&lt;0.3,"Low DTI", IF(Table13[[#This Row],[Debt_to_Income_Ratio]]&lt;0.5,"Moderate DTI", "High DTI"))</f>
        <v>Low DTI</v>
      </c>
      <c r="M367" t="s">
        <v>50</v>
      </c>
      <c r="N367" s="21">
        <v>9</v>
      </c>
      <c r="O367" t="s">
        <v>31</v>
      </c>
      <c r="P367" t="s">
        <v>22</v>
      </c>
      <c r="Q367" t="s">
        <v>24</v>
      </c>
      <c r="R367" t="s">
        <v>29</v>
      </c>
      <c r="S367" t="s">
        <v>23</v>
      </c>
      <c r="T367" t="s">
        <v>24</v>
      </c>
      <c r="U367" t="s">
        <v>24</v>
      </c>
      <c r="V367" t="s">
        <v>29</v>
      </c>
    </row>
    <row r="368" spans="1:22">
      <c r="A368" t="s">
        <v>404</v>
      </c>
      <c r="B368" s="21">
        <v>31</v>
      </c>
      <c r="C368" s="21">
        <v>42350</v>
      </c>
      <c r="D368" s="21">
        <v>389</v>
      </c>
      <c r="E368" t="str">
        <f>VLOOKUP(Table13[[#This Row],[Credit_Score]],Table4[],2,TRUE)</f>
        <v>High Risk</v>
      </c>
      <c r="F368">
        <v>0.37853088024690901</v>
      </c>
      <c r="G368" t="str">
        <f>IF(Table13[[#This Row],[Credit_Utilization]]&lt;0.3,"Low Utilization",
IF(Table13[[#This Row],[Credit_Utilization]]&lt;0.7,"Moderate Utilization",
"High Utilization"))</f>
        <v>Moderate Utilization</v>
      </c>
      <c r="H368" s="21">
        <v>6</v>
      </c>
      <c r="I368" s="21">
        <v>0</v>
      </c>
      <c r="J368" s="21">
        <v>50310</v>
      </c>
      <c r="K368">
        <v>0.17061805981955699</v>
      </c>
      <c r="L368" t="str">
        <f>IF(Table13[[#This Row],[Debt_to_Income_Ratio]]&lt;0.3,"Low DTI", IF(Table13[[#This Row],[Debt_to_Income_Ratio]]&lt;0.5,"Moderate DTI", "High DTI"))</f>
        <v>Low DTI</v>
      </c>
      <c r="M368" t="s">
        <v>43</v>
      </c>
      <c r="N368" s="21">
        <v>17</v>
      </c>
      <c r="O368" t="s">
        <v>31</v>
      </c>
      <c r="P368" t="s">
        <v>22</v>
      </c>
      <c r="Q368" t="s">
        <v>24</v>
      </c>
      <c r="R368" t="s">
        <v>29</v>
      </c>
      <c r="S368" t="s">
        <v>29</v>
      </c>
      <c r="T368" t="s">
        <v>24</v>
      </c>
      <c r="U368" t="s">
        <v>23</v>
      </c>
      <c r="V368" t="s">
        <v>23</v>
      </c>
    </row>
    <row r="369" spans="1:22">
      <c r="A369" t="s">
        <v>405</v>
      </c>
      <c r="B369" s="21">
        <v>38</v>
      </c>
      <c r="C369" s="21">
        <v>118081</v>
      </c>
      <c r="D369" s="21">
        <v>523</v>
      </c>
      <c r="E369" t="str">
        <f>VLOOKUP(Table13[[#This Row],[Credit_Score]],Table4[],2,TRUE)</f>
        <v>High Risk</v>
      </c>
      <c r="F369">
        <v>0.82586466732360497</v>
      </c>
      <c r="G369" t="str">
        <f>IF(Table13[[#This Row],[Credit_Utilization]]&lt;0.3,"Low Utilization",
IF(Table13[[#This Row],[Credit_Utilization]]&lt;0.7,"Moderate Utilization",
"High Utilization"))</f>
        <v>High Utilization</v>
      </c>
      <c r="H369" s="21">
        <v>4</v>
      </c>
      <c r="I369" s="21">
        <v>0</v>
      </c>
      <c r="J369" s="21">
        <v>74288</v>
      </c>
      <c r="K369">
        <v>0.17658788649909199</v>
      </c>
      <c r="L369" t="str">
        <f>IF(Table13[[#This Row],[Debt_to_Income_Ratio]]&lt;0.3,"Low DTI", IF(Table13[[#This Row],[Debt_to_Income_Ratio]]&lt;0.5,"Moderate DTI", "High DTI"))</f>
        <v>Low DTI</v>
      </c>
      <c r="M369" t="s">
        <v>43</v>
      </c>
      <c r="N369" s="21">
        <v>16</v>
      </c>
      <c r="O369" t="s">
        <v>31</v>
      </c>
      <c r="P369" t="s">
        <v>38</v>
      </c>
      <c r="Q369" t="s">
        <v>23</v>
      </c>
      <c r="R369" t="s">
        <v>24</v>
      </c>
      <c r="S369" t="s">
        <v>23</v>
      </c>
      <c r="T369" t="s">
        <v>23</v>
      </c>
      <c r="U369" t="s">
        <v>29</v>
      </c>
      <c r="V369" t="s">
        <v>24</v>
      </c>
    </row>
    <row r="370" spans="1:22">
      <c r="A370" t="s">
        <v>406</v>
      </c>
      <c r="B370" s="21">
        <v>65</v>
      </c>
      <c r="C370" s="21">
        <v>28807</v>
      </c>
      <c r="D370" s="21">
        <v>728</v>
      </c>
      <c r="E370" t="str">
        <f>VLOOKUP(Table13[[#This Row],[Credit_Score]],Table4[],2,TRUE)</f>
        <v>Medium Risk</v>
      </c>
      <c r="F370">
        <v>0.55277888609080295</v>
      </c>
      <c r="G370" t="str">
        <f>IF(Table13[[#This Row],[Credit_Utilization]]&lt;0.3,"Low Utilization",
IF(Table13[[#This Row],[Credit_Utilization]]&lt;0.7,"Moderate Utilization",
"High Utilization"))</f>
        <v>Moderate Utilization</v>
      </c>
      <c r="H370" s="21">
        <v>5</v>
      </c>
      <c r="I370" s="21">
        <v>0</v>
      </c>
      <c r="J370" s="21">
        <v>24670</v>
      </c>
      <c r="K370">
        <v>0.226319829467862</v>
      </c>
      <c r="L370" t="str">
        <f>IF(Table13[[#This Row],[Debt_to_Income_Ratio]]&lt;0.3,"Low DTI", IF(Table13[[#This Row],[Debt_to_Income_Ratio]]&lt;0.5,"Moderate DTI", "High DTI"))</f>
        <v>Low DTI</v>
      </c>
      <c r="M370" t="s">
        <v>43</v>
      </c>
      <c r="N370" s="21">
        <v>4</v>
      </c>
      <c r="O370" t="s">
        <v>37</v>
      </c>
      <c r="P370" t="s">
        <v>28</v>
      </c>
      <c r="Q370" t="s">
        <v>23</v>
      </c>
      <c r="R370" t="s">
        <v>29</v>
      </c>
      <c r="S370" t="s">
        <v>24</v>
      </c>
      <c r="T370" t="s">
        <v>29</v>
      </c>
      <c r="U370" t="s">
        <v>29</v>
      </c>
      <c r="V370" t="s">
        <v>29</v>
      </c>
    </row>
    <row r="371" spans="1:22">
      <c r="A371" t="s">
        <v>407</v>
      </c>
      <c r="B371" s="21">
        <v>37</v>
      </c>
      <c r="C371" s="21">
        <v>107658</v>
      </c>
      <c r="D371" s="21">
        <v>459</v>
      </c>
      <c r="E371" t="str">
        <f>VLOOKUP(Table13[[#This Row],[Credit_Score]],Table4[],2,TRUE)</f>
        <v>High Risk</v>
      </c>
      <c r="F371">
        <v>0.381904386291124</v>
      </c>
      <c r="G371" t="str">
        <f>IF(Table13[[#This Row],[Credit_Utilization]]&lt;0.3,"Low Utilization",
IF(Table13[[#This Row],[Credit_Utilization]]&lt;0.7,"Moderate Utilization",
"High Utilization"))</f>
        <v>Moderate Utilization</v>
      </c>
      <c r="H371" s="21">
        <v>1</v>
      </c>
      <c r="I371" s="21">
        <v>0</v>
      </c>
      <c r="J371" s="21">
        <v>62561</v>
      </c>
      <c r="K371">
        <v>0.263326845196098</v>
      </c>
      <c r="L371" t="str">
        <f>IF(Table13[[#This Row],[Debt_to_Income_Ratio]]&lt;0.3,"Low DTI", IF(Table13[[#This Row],[Debt_to_Income_Ratio]]&lt;0.5,"Moderate DTI", "High DTI"))</f>
        <v>Low DTI</v>
      </c>
      <c r="M371" t="s">
        <v>43</v>
      </c>
      <c r="N371" s="21">
        <v>11</v>
      </c>
      <c r="O371" t="s">
        <v>37</v>
      </c>
      <c r="P371" t="s">
        <v>38</v>
      </c>
      <c r="Q371" t="s">
        <v>29</v>
      </c>
      <c r="R371" t="s">
        <v>24</v>
      </c>
      <c r="S371" t="s">
        <v>29</v>
      </c>
      <c r="T371" t="s">
        <v>23</v>
      </c>
      <c r="U371" t="s">
        <v>23</v>
      </c>
      <c r="V371" t="s">
        <v>24</v>
      </c>
    </row>
    <row r="372" spans="1:22">
      <c r="A372" t="s">
        <v>408</v>
      </c>
      <c r="B372" s="21">
        <v>73</v>
      </c>
      <c r="C372" s="21">
        <v>107658</v>
      </c>
      <c r="D372" s="21">
        <v>384</v>
      </c>
      <c r="E372" t="str">
        <f>VLOOKUP(Table13[[#This Row],[Credit_Score]],Table4[],2,TRUE)</f>
        <v>High Risk</v>
      </c>
      <c r="F372">
        <v>0.57488726519091404</v>
      </c>
      <c r="G372" t="str">
        <f>IF(Table13[[#This Row],[Credit_Utilization]]&lt;0.3,"Low Utilization",
IF(Table13[[#This Row],[Credit_Utilization]]&lt;0.7,"Moderate Utilization",
"High Utilization"))</f>
        <v>Moderate Utilization</v>
      </c>
      <c r="H372" s="21">
        <v>4</v>
      </c>
      <c r="I372" s="21">
        <v>0</v>
      </c>
      <c r="J372" s="21">
        <v>91970</v>
      </c>
      <c r="K372">
        <v>0.33050621389651602</v>
      </c>
      <c r="L372" t="str">
        <f>IF(Table13[[#This Row],[Debt_to_Income_Ratio]]&lt;0.3,"Low DTI", IF(Table13[[#This Row],[Debt_to_Income_Ratio]]&lt;0.5,"Moderate DTI", "High DTI"))</f>
        <v>Moderate DTI</v>
      </c>
      <c r="M372" t="s">
        <v>34</v>
      </c>
      <c r="N372" s="21">
        <v>5</v>
      </c>
      <c r="O372" t="s">
        <v>27</v>
      </c>
      <c r="P372" t="s">
        <v>22</v>
      </c>
      <c r="Q372" t="s">
        <v>23</v>
      </c>
      <c r="R372" t="s">
        <v>23</v>
      </c>
      <c r="S372" t="s">
        <v>23</v>
      </c>
      <c r="T372" t="s">
        <v>24</v>
      </c>
      <c r="U372" t="s">
        <v>24</v>
      </c>
      <c r="V372" t="s">
        <v>24</v>
      </c>
    </row>
    <row r="373" spans="1:22">
      <c r="A373" t="s">
        <v>409</v>
      </c>
      <c r="B373" s="21">
        <v>25</v>
      </c>
      <c r="C373" s="21">
        <v>90353</v>
      </c>
      <c r="D373" s="21">
        <v>643</v>
      </c>
      <c r="E373" t="str">
        <f>VLOOKUP(Table13[[#This Row],[Credit_Score]],Table4[],2,TRUE)</f>
        <v>Medium Risk</v>
      </c>
      <c r="F373">
        <v>0.50702957628490097</v>
      </c>
      <c r="G373" t="str">
        <f>IF(Table13[[#This Row],[Credit_Utilization]]&lt;0.3,"Low Utilization",
IF(Table13[[#This Row],[Credit_Utilization]]&lt;0.7,"Moderate Utilization",
"High Utilization"))</f>
        <v>Moderate Utilization</v>
      </c>
      <c r="H373" s="21">
        <v>1</v>
      </c>
      <c r="I373" s="21">
        <v>0</v>
      </c>
      <c r="J373" s="21">
        <v>88423</v>
      </c>
      <c r="K373">
        <v>0.21990324031040201</v>
      </c>
      <c r="L373" t="str">
        <f>IF(Table13[[#This Row],[Debt_to_Income_Ratio]]&lt;0.3,"Low DTI", IF(Table13[[#This Row],[Debt_to_Income_Ratio]]&lt;0.5,"Moderate DTI", "High DTI"))</f>
        <v>Low DTI</v>
      </c>
      <c r="M373" t="s">
        <v>34</v>
      </c>
      <c r="N373" s="21">
        <v>8</v>
      </c>
      <c r="O373" t="s">
        <v>21</v>
      </c>
      <c r="P373" t="s">
        <v>22</v>
      </c>
      <c r="Q373" t="s">
        <v>24</v>
      </c>
      <c r="R373" t="s">
        <v>23</v>
      </c>
      <c r="S373" t="s">
        <v>24</v>
      </c>
      <c r="T373" t="s">
        <v>29</v>
      </c>
      <c r="U373" t="s">
        <v>24</v>
      </c>
      <c r="V373" t="s">
        <v>23</v>
      </c>
    </row>
    <row r="374" spans="1:22">
      <c r="A374" t="s">
        <v>410</v>
      </c>
      <c r="B374" s="21">
        <v>24</v>
      </c>
      <c r="C374" s="21">
        <v>42350</v>
      </c>
      <c r="D374" s="21">
        <v>664</v>
      </c>
      <c r="E374" t="str">
        <f>VLOOKUP(Table13[[#This Row],[Credit_Score]],Table4[],2,TRUE)</f>
        <v>Medium Risk</v>
      </c>
      <c r="F374">
        <v>0.40160532617217598</v>
      </c>
      <c r="G374" t="str">
        <f>IF(Table13[[#This Row],[Credit_Utilization]]&lt;0.3,"Low Utilization",
IF(Table13[[#This Row],[Credit_Utilization]]&lt;0.7,"Moderate Utilization",
"High Utilization"))</f>
        <v>Moderate Utilization</v>
      </c>
      <c r="H374" s="21">
        <v>4</v>
      </c>
      <c r="I374" s="21">
        <v>0</v>
      </c>
      <c r="J374" s="21">
        <v>11251</v>
      </c>
      <c r="K374">
        <v>0.328039197111331</v>
      </c>
      <c r="L374" t="str">
        <f>IF(Table13[[#This Row],[Debt_to_Income_Ratio]]&lt;0.3,"Low DTI", IF(Table13[[#This Row],[Debt_to_Income_Ratio]]&lt;0.5,"Moderate DTI", "High DTI"))</f>
        <v>Moderate DTI</v>
      </c>
      <c r="M374" t="s">
        <v>50</v>
      </c>
      <c r="N374" s="21">
        <v>19</v>
      </c>
      <c r="O374" t="s">
        <v>27</v>
      </c>
      <c r="P374" t="s">
        <v>28</v>
      </c>
      <c r="Q374" t="s">
        <v>23</v>
      </c>
      <c r="R374" t="s">
        <v>29</v>
      </c>
      <c r="S374" t="s">
        <v>29</v>
      </c>
      <c r="T374" t="s">
        <v>23</v>
      </c>
      <c r="U374" t="s">
        <v>24</v>
      </c>
      <c r="V374" t="s">
        <v>23</v>
      </c>
    </row>
    <row r="375" spans="1:22">
      <c r="A375" t="s">
        <v>411</v>
      </c>
      <c r="B375" s="21">
        <v>20</v>
      </c>
      <c r="C375" s="21">
        <v>76813</v>
      </c>
      <c r="D375" s="21">
        <v>693</v>
      </c>
      <c r="E375" t="str">
        <f>VLOOKUP(Table13[[#This Row],[Credit_Score]],Table4[],2,TRUE)</f>
        <v>Medium Risk</v>
      </c>
      <c r="F375">
        <v>0.22067422884235399</v>
      </c>
      <c r="G375" t="str">
        <f>IF(Table13[[#This Row],[Credit_Utilization]]&lt;0.3,"Low Utilization",
IF(Table13[[#This Row],[Credit_Utilization]]&lt;0.7,"Moderate Utilization",
"High Utilization"))</f>
        <v>Low Utilization</v>
      </c>
      <c r="H375" s="21">
        <v>4</v>
      </c>
      <c r="I375" s="21">
        <v>0</v>
      </c>
      <c r="J375" s="21">
        <v>85678</v>
      </c>
      <c r="K375">
        <v>0.33620401458590499</v>
      </c>
      <c r="L375" t="str">
        <f>IF(Table13[[#This Row],[Debt_to_Income_Ratio]]&lt;0.3,"Low DTI", IF(Table13[[#This Row],[Debt_to_Income_Ratio]]&lt;0.5,"Moderate DTI", "High DTI"))</f>
        <v>Moderate DTI</v>
      </c>
      <c r="M375" t="s">
        <v>50</v>
      </c>
      <c r="N375" s="21">
        <v>0</v>
      </c>
      <c r="O375" t="s">
        <v>31</v>
      </c>
      <c r="P375" t="s">
        <v>53</v>
      </c>
      <c r="Q375" t="s">
        <v>29</v>
      </c>
      <c r="R375" t="s">
        <v>29</v>
      </c>
      <c r="S375" t="s">
        <v>29</v>
      </c>
      <c r="T375" t="s">
        <v>24</v>
      </c>
      <c r="U375" t="s">
        <v>23</v>
      </c>
      <c r="V375" t="s">
        <v>23</v>
      </c>
    </row>
    <row r="376" spans="1:22">
      <c r="A376" t="s">
        <v>412</v>
      </c>
      <c r="B376" s="21">
        <v>34</v>
      </c>
      <c r="C376" s="21">
        <v>101900</v>
      </c>
      <c r="D376" s="21">
        <v>648</v>
      </c>
      <c r="E376" t="str">
        <f>VLOOKUP(Table13[[#This Row],[Credit_Score]],Table4[],2,TRUE)</f>
        <v>Medium Risk</v>
      </c>
      <c r="F376">
        <v>0.78770849690245803</v>
      </c>
      <c r="G376" t="str">
        <f>IF(Table13[[#This Row],[Credit_Utilization]]&lt;0.3,"Low Utilization",
IF(Table13[[#This Row],[Credit_Utilization]]&lt;0.7,"Moderate Utilization",
"High Utilization"))</f>
        <v>High Utilization</v>
      </c>
      <c r="H376" s="21">
        <v>1</v>
      </c>
      <c r="I376" s="21">
        <v>1</v>
      </c>
      <c r="J376" s="21">
        <v>48942</v>
      </c>
      <c r="K376">
        <v>0.31433438825958798</v>
      </c>
      <c r="L376" t="str">
        <f>IF(Table13[[#This Row],[Debt_to_Income_Ratio]]&lt;0.3,"Low DTI", IF(Table13[[#This Row],[Debt_to_Income_Ratio]]&lt;0.5,"Moderate DTI", "High DTI"))</f>
        <v>Moderate DTI</v>
      </c>
      <c r="M376" t="s">
        <v>34</v>
      </c>
      <c r="N376" s="21">
        <v>14</v>
      </c>
      <c r="O376" t="s">
        <v>27</v>
      </c>
      <c r="P376" t="s">
        <v>53</v>
      </c>
      <c r="Q376" t="s">
        <v>24</v>
      </c>
      <c r="R376" t="s">
        <v>24</v>
      </c>
      <c r="S376" t="s">
        <v>24</v>
      </c>
      <c r="T376" t="s">
        <v>24</v>
      </c>
      <c r="U376" t="s">
        <v>29</v>
      </c>
      <c r="V376" t="s">
        <v>24</v>
      </c>
    </row>
    <row r="377" spans="1:22">
      <c r="A377" t="s">
        <v>413</v>
      </c>
      <c r="B377" s="21">
        <v>50</v>
      </c>
      <c r="C377" s="21">
        <v>107658</v>
      </c>
      <c r="D377" s="21">
        <v>773</v>
      </c>
      <c r="E377" t="str">
        <f>VLOOKUP(Table13[[#This Row],[Credit_Score]],Table4[],2,TRUE)</f>
        <v>Low Risk</v>
      </c>
      <c r="F377">
        <v>0.54196362574200796</v>
      </c>
      <c r="G377" t="str">
        <f>IF(Table13[[#This Row],[Credit_Utilization]]&lt;0.3,"Low Utilization",
IF(Table13[[#This Row],[Credit_Utilization]]&lt;0.7,"Moderate Utilization",
"High Utilization"))</f>
        <v>Moderate Utilization</v>
      </c>
      <c r="H377" s="21">
        <v>3</v>
      </c>
      <c r="I377" s="21">
        <v>0</v>
      </c>
      <c r="J377" s="21">
        <v>7468</v>
      </c>
      <c r="K377">
        <v>0.18713770029873</v>
      </c>
      <c r="L377" t="str">
        <f>IF(Table13[[#This Row],[Debt_to_Income_Ratio]]&lt;0.3,"Low DTI", IF(Table13[[#This Row],[Debt_to_Income_Ratio]]&lt;0.5,"Moderate DTI", "High DTI"))</f>
        <v>Low DTI</v>
      </c>
      <c r="M377" t="s">
        <v>26</v>
      </c>
      <c r="N377" s="21">
        <v>5</v>
      </c>
      <c r="O377" t="s">
        <v>21</v>
      </c>
      <c r="P377" t="s">
        <v>28</v>
      </c>
      <c r="Q377" t="s">
        <v>24</v>
      </c>
      <c r="R377" t="s">
        <v>24</v>
      </c>
      <c r="S377" t="s">
        <v>23</v>
      </c>
      <c r="T377" t="s">
        <v>29</v>
      </c>
      <c r="U377" t="s">
        <v>24</v>
      </c>
      <c r="V377" t="s">
        <v>23</v>
      </c>
    </row>
    <row r="378" spans="1:22">
      <c r="A378" t="s">
        <v>414</v>
      </c>
      <c r="B378" s="21">
        <v>65</v>
      </c>
      <c r="C378" s="21">
        <v>107658</v>
      </c>
      <c r="D378" s="21">
        <v>781</v>
      </c>
      <c r="E378" t="str">
        <f>VLOOKUP(Table13[[#This Row],[Credit_Score]],Table4[],2,TRUE)</f>
        <v>Low Risk</v>
      </c>
      <c r="F378">
        <v>0.93474767469364695</v>
      </c>
      <c r="G378" t="str">
        <f>IF(Table13[[#This Row],[Credit_Utilization]]&lt;0.3,"Low Utilization",
IF(Table13[[#This Row],[Credit_Utilization]]&lt;0.7,"Moderate Utilization",
"High Utilization"))</f>
        <v>High Utilization</v>
      </c>
      <c r="H378" s="21">
        <v>4</v>
      </c>
      <c r="I378" s="21">
        <v>0</v>
      </c>
      <c r="J378" s="21">
        <v>26000</v>
      </c>
      <c r="K378">
        <v>0.34678267252359501</v>
      </c>
      <c r="L378" t="str">
        <f>IF(Table13[[#This Row],[Debt_to_Income_Ratio]]&lt;0.3,"Low DTI", IF(Table13[[#This Row],[Debt_to_Income_Ratio]]&lt;0.5,"Moderate DTI", "High DTI"))</f>
        <v>Moderate DTI</v>
      </c>
      <c r="M378" t="s">
        <v>43</v>
      </c>
      <c r="N378" s="21">
        <v>18</v>
      </c>
      <c r="O378" t="s">
        <v>37</v>
      </c>
      <c r="P378" t="s">
        <v>28</v>
      </c>
      <c r="Q378" t="s">
        <v>29</v>
      </c>
      <c r="R378" t="s">
        <v>23</v>
      </c>
      <c r="S378" t="s">
        <v>29</v>
      </c>
      <c r="T378" t="s">
        <v>23</v>
      </c>
      <c r="U378" t="s">
        <v>29</v>
      </c>
      <c r="V378" t="s">
        <v>29</v>
      </c>
    </row>
    <row r="379" spans="1:22">
      <c r="A379" t="s">
        <v>415</v>
      </c>
      <c r="B379" s="21">
        <v>29</v>
      </c>
      <c r="C379" s="21">
        <v>68932</v>
      </c>
      <c r="D379" s="21">
        <v>535</v>
      </c>
      <c r="E379" t="str">
        <f>VLOOKUP(Table13[[#This Row],[Credit_Score]],Table4[],2,TRUE)</f>
        <v>High Risk</v>
      </c>
      <c r="F379">
        <v>0.68806432410817597</v>
      </c>
      <c r="G379" t="str">
        <f>IF(Table13[[#This Row],[Credit_Utilization]]&lt;0.3,"Low Utilization",
IF(Table13[[#This Row],[Credit_Utilization]]&lt;0.7,"Moderate Utilization",
"High Utilization"))</f>
        <v>Moderate Utilization</v>
      </c>
      <c r="H379" s="21">
        <v>2</v>
      </c>
      <c r="I379" s="21">
        <v>0</v>
      </c>
      <c r="J379" s="21">
        <v>82909</v>
      </c>
      <c r="K379">
        <v>0.50812696287667203</v>
      </c>
      <c r="L379" t="str">
        <f>IF(Table13[[#This Row],[Debt_to_Income_Ratio]]&lt;0.3,"Low DTI", IF(Table13[[#This Row],[Debt_to_Income_Ratio]]&lt;0.5,"Moderate DTI", "High DTI"))</f>
        <v>High DTI</v>
      </c>
      <c r="M379" t="s">
        <v>43</v>
      </c>
      <c r="N379" s="21">
        <v>17</v>
      </c>
      <c r="O379" t="s">
        <v>27</v>
      </c>
      <c r="P379" t="s">
        <v>38</v>
      </c>
      <c r="Q379" t="s">
        <v>23</v>
      </c>
      <c r="R379" t="s">
        <v>23</v>
      </c>
      <c r="S379" t="s">
        <v>29</v>
      </c>
      <c r="T379" t="s">
        <v>24</v>
      </c>
      <c r="U379" t="s">
        <v>29</v>
      </c>
      <c r="V379" t="s">
        <v>23</v>
      </c>
    </row>
    <row r="380" spans="1:22">
      <c r="A380" t="s">
        <v>416</v>
      </c>
      <c r="B380" s="21">
        <v>68</v>
      </c>
      <c r="C380" s="21">
        <v>107658</v>
      </c>
      <c r="D380" s="21">
        <v>586</v>
      </c>
      <c r="E380" t="str">
        <f>VLOOKUP(Table13[[#This Row],[Credit_Score]],Table4[],2,TRUE)</f>
        <v>High Risk</v>
      </c>
      <c r="F380">
        <v>0.61026394495220804</v>
      </c>
      <c r="G380" t="str">
        <f>IF(Table13[[#This Row],[Credit_Utilization]]&lt;0.3,"Low Utilization",
IF(Table13[[#This Row],[Credit_Utilization]]&lt;0.7,"Moderate Utilization",
"High Utilization"))</f>
        <v>Moderate Utilization</v>
      </c>
      <c r="H380" s="21">
        <v>6</v>
      </c>
      <c r="I380" s="21">
        <v>0</v>
      </c>
      <c r="J380" s="21">
        <v>27490</v>
      </c>
      <c r="K380">
        <v>0.32458968269129002</v>
      </c>
      <c r="L380" t="str">
        <f>IF(Table13[[#This Row],[Debt_to_Income_Ratio]]&lt;0.3,"Low DTI", IF(Table13[[#This Row],[Debt_to_Income_Ratio]]&lt;0.5,"Moderate DTI", "High DTI"))</f>
        <v>Moderate DTI</v>
      </c>
      <c r="M380" t="s">
        <v>43</v>
      </c>
      <c r="N380" s="21">
        <v>5</v>
      </c>
      <c r="O380" t="s">
        <v>31</v>
      </c>
      <c r="P380" t="s">
        <v>28</v>
      </c>
      <c r="Q380" t="s">
        <v>24</v>
      </c>
      <c r="R380" t="s">
        <v>24</v>
      </c>
      <c r="S380" t="s">
        <v>24</v>
      </c>
      <c r="T380" t="s">
        <v>23</v>
      </c>
      <c r="U380" t="s">
        <v>29</v>
      </c>
      <c r="V380" t="s">
        <v>23</v>
      </c>
    </row>
    <row r="381" spans="1:22">
      <c r="A381" t="s">
        <v>417</v>
      </c>
      <c r="B381" s="21">
        <v>39</v>
      </c>
      <c r="C381" s="21">
        <v>150230</v>
      </c>
      <c r="D381" s="21">
        <v>742</v>
      </c>
      <c r="E381" t="str">
        <f>VLOOKUP(Table13[[#This Row],[Credit_Score]],Table4[],2,TRUE)</f>
        <v>Medium Risk</v>
      </c>
      <c r="F381">
        <v>0.41295913427660602</v>
      </c>
      <c r="G381" t="str">
        <f>IF(Table13[[#This Row],[Credit_Utilization]]&lt;0.3,"Low Utilization",
IF(Table13[[#This Row],[Credit_Utilization]]&lt;0.7,"Moderate Utilization",
"High Utilization"))</f>
        <v>Moderate Utilization</v>
      </c>
      <c r="H381" s="21">
        <v>5</v>
      </c>
      <c r="I381" s="21">
        <v>1</v>
      </c>
      <c r="J381" s="21">
        <v>33472</v>
      </c>
      <c r="K381">
        <v>0.1</v>
      </c>
      <c r="L381" t="str">
        <f>IF(Table13[[#This Row],[Debt_to_Income_Ratio]]&lt;0.3,"Low DTI", IF(Table13[[#This Row],[Debt_to_Income_Ratio]]&lt;0.5,"Moderate DTI", "High DTI"))</f>
        <v>Low DTI</v>
      </c>
      <c r="M381" t="s">
        <v>43</v>
      </c>
      <c r="N381" s="21">
        <v>12</v>
      </c>
      <c r="O381" t="s">
        <v>31</v>
      </c>
      <c r="P381" t="s">
        <v>53</v>
      </c>
      <c r="Q381" t="s">
        <v>23</v>
      </c>
      <c r="R381" t="s">
        <v>23</v>
      </c>
      <c r="S381" t="s">
        <v>29</v>
      </c>
      <c r="T381" t="s">
        <v>24</v>
      </c>
      <c r="U381" t="s">
        <v>24</v>
      </c>
      <c r="V381" t="s">
        <v>23</v>
      </c>
    </row>
    <row r="382" spans="1:22">
      <c r="A382" t="s">
        <v>418</v>
      </c>
      <c r="B382" s="21">
        <v>72</v>
      </c>
      <c r="C382" s="21">
        <v>100999</v>
      </c>
      <c r="D382" s="21">
        <v>823</v>
      </c>
      <c r="E382" t="str">
        <f>VLOOKUP(Table13[[#This Row],[Credit_Score]],Table4[],2,TRUE)</f>
        <v>Low Risk</v>
      </c>
      <c r="F382">
        <v>0.28093088722861598</v>
      </c>
      <c r="G382" t="str">
        <f>IF(Table13[[#This Row],[Credit_Utilization]]&lt;0.3,"Low Utilization",
IF(Table13[[#This Row],[Credit_Utilization]]&lt;0.7,"Moderate Utilization",
"High Utilization"))</f>
        <v>Low Utilization</v>
      </c>
      <c r="H382" s="21">
        <v>3</v>
      </c>
      <c r="I382" s="21">
        <v>0</v>
      </c>
      <c r="J382" s="21">
        <v>13355</v>
      </c>
      <c r="K382">
        <v>0.42408795720469</v>
      </c>
      <c r="L382" t="str">
        <f>IF(Table13[[#This Row],[Debt_to_Income_Ratio]]&lt;0.3,"Low DTI", IF(Table13[[#This Row],[Debt_to_Income_Ratio]]&lt;0.5,"Moderate DTI", "High DTI"))</f>
        <v>Moderate DTI</v>
      </c>
      <c r="M382" t="s">
        <v>34</v>
      </c>
      <c r="N382" s="21">
        <v>0</v>
      </c>
      <c r="O382" t="s">
        <v>37</v>
      </c>
      <c r="P382" t="s">
        <v>28</v>
      </c>
      <c r="Q382" t="s">
        <v>23</v>
      </c>
      <c r="R382" t="s">
        <v>29</v>
      </c>
      <c r="S382" t="s">
        <v>23</v>
      </c>
      <c r="T382" t="s">
        <v>24</v>
      </c>
      <c r="U382" t="s">
        <v>23</v>
      </c>
      <c r="V382" t="s">
        <v>29</v>
      </c>
    </row>
    <row r="383" spans="1:22">
      <c r="A383" t="s">
        <v>419</v>
      </c>
      <c r="B383" s="21">
        <v>39</v>
      </c>
      <c r="C383" s="21">
        <v>88963</v>
      </c>
      <c r="D383" s="21">
        <v>310</v>
      </c>
      <c r="E383" t="str">
        <f>VLOOKUP(Table13[[#This Row],[Credit_Score]],Table4[],2,TRUE)</f>
        <v>High Risk</v>
      </c>
      <c r="F383">
        <v>0.45645380310230999</v>
      </c>
      <c r="G383" t="str">
        <f>IF(Table13[[#This Row],[Credit_Utilization]]&lt;0.3,"Low Utilization",
IF(Table13[[#This Row],[Credit_Utilization]]&lt;0.7,"Moderate Utilization",
"High Utilization"))</f>
        <v>Moderate Utilization</v>
      </c>
      <c r="H383" s="21">
        <v>1</v>
      </c>
      <c r="I383" s="21">
        <v>0</v>
      </c>
      <c r="J383" s="21">
        <v>6118</v>
      </c>
      <c r="K383">
        <v>0.22972522233006101</v>
      </c>
      <c r="L383" t="str">
        <f>IF(Table13[[#This Row],[Debt_to_Income_Ratio]]&lt;0.3,"Low DTI", IF(Table13[[#This Row],[Debt_to_Income_Ratio]]&lt;0.5,"Moderate DTI", "High DTI"))</f>
        <v>Low DTI</v>
      </c>
      <c r="M383" t="s">
        <v>43</v>
      </c>
      <c r="N383" s="21">
        <v>12</v>
      </c>
      <c r="O383" t="s">
        <v>27</v>
      </c>
      <c r="P383" t="s">
        <v>38</v>
      </c>
      <c r="Q383" t="s">
        <v>24</v>
      </c>
      <c r="R383" t="s">
        <v>29</v>
      </c>
      <c r="S383" t="s">
        <v>29</v>
      </c>
      <c r="T383" t="s">
        <v>23</v>
      </c>
      <c r="U383" t="s">
        <v>23</v>
      </c>
      <c r="V383" t="s">
        <v>29</v>
      </c>
    </row>
    <row r="384" spans="1:22">
      <c r="A384" t="s">
        <v>420</v>
      </c>
      <c r="B384" s="21">
        <v>63</v>
      </c>
      <c r="C384" s="21">
        <v>120616</v>
      </c>
      <c r="D384" s="21">
        <v>345</v>
      </c>
      <c r="E384" t="str">
        <f>VLOOKUP(Table13[[#This Row],[Credit_Score]],Table4[],2,TRUE)</f>
        <v>High Risk</v>
      </c>
      <c r="F384">
        <v>0.27514148115883302</v>
      </c>
      <c r="G384" t="str">
        <f>IF(Table13[[#This Row],[Credit_Utilization]]&lt;0.3,"Low Utilization",
IF(Table13[[#This Row],[Credit_Utilization]]&lt;0.7,"Moderate Utilization",
"High Utilization"))</f>
        <v>Low Utilization</v>
      </c>
      <c r="H384" s="21">
        <v>3</v>
      </c>
      <c r="I384" s="21">
        <v>0</v>
      </c>
      <c r="J384" s="21">
        <v>98999</v>
      </c>
      <c r="K384">
        <v>0.52657126904956897</v>
      </c>
      <c r="L384" t="str">
        <f>IF(Table13[[#This Row],[Debt_to_Income_Ratio]]&lt;0.3,"Low DTI", IF(Table13[[#This Row],[Debt_to_Income_Ratio]]&lt;0.5,"Moderate DTI", "High DTI"))</f>
        <v>High DTI</v>
      </c>
      <c r="M384" t="s">
        <v>34</v>
      </c>
      <c r="N384" s="21">
        <v>6</v>
      </c>
      <c r="O384" t="s">
        <v>21</v>
      </c>
      <c r="P384" t="s">
        <v>38</v>
      </c>
      <c r="Q384" t="s">
        <v>23</v>
      </c>
      <c r="R384" t="s">
        <v>23</v>
      </c>
      <c r="S384" t="s">
        <v>24</v>
      </c>
      <c r="T384" t="s">
        <v>24</v>
      </c>
      <c r="U384" t="s">
        <v>23</v>
      </c>
      <c r="V384" t="s">
        <v>24</v>
      </c>
    </row>
    <row r="385" spans="1:22">
      <c r="A385" t="s">
        <v>421</v>
      </c>
      <c r="B385" s="21">
        <v>47</v>
      </c>
      <c r="C385" s="21">
        <v>61540</v>
      </c>
      <c r="D385" s="21">
        <v>414</v>
      </c>
      <c r="E385" t="str">
        <f>VLOOKUP(Table13[[#This Row],[Credit_Score]],Table4[],2,TRUE)</f>
        <v>High Risk</v>
      </c>
      <c r="F385">
        <v>0.63003807614615004</v>
      </c>
      <c r="G385" t="str">
        <f>IF(Table13[[#This Row],[Credit_Utilization]]&lt;0.3,"Low Utilization",
IF(Table13[[#This Row],[Credit_Utilization]]&lt;0.7,"Moderate Utilization",
"High Utilization"))</f>
        <v>Moderate Utilization</v>
      </c>
      <c r="H385" s="21">
        <v>0</v>
      </c>
      <c r="I385" s="21">
        <v>0</v>
      </c>
      <c r="J385" s="21">
        <v>37658</v>
      </c>
      <c r="K385">
        <v>0.31163634513659599</v>
      </c>
      <c r="L385" t="str">
        <f>IF(Table13[[#This Row],[Debt_to_Income_Ratio]]&lt;0.3,"Low DTI", IF(Table13[[#This Row],[Debt_to_Income_Ratio]]&lt;0.5,"Moderate DTI", "High DTI"))</f>
        <v>Moderate DTI</v>
      </c>
      <c r="M385" t="s">
        <v>43</v>
      </c>
      <c r="N385" s="21">
        <v>14</v>
      </c>
      <c r="O385" t="s">
        <v>37</v>
      </c>
      <c r="P385" t="s">
        <v>38</v>
      </c>
      <c r="Q385" t="s">
        <v>29</v>
      </c>
      <c r="R385" t="s">
        <v>24</v>
      </c>
      <c r="S385" t="s">
        <v>24</v>
      </c>
      <c r="T385" t="s">
        <v>23</v>
      </c>
      <c r="U385" t="s">
        <v>29</v>
      </c>
      <c r="V385" t="s">
        <v>24</v>
      </c>
    </row>
    <row r="386" spans="1:22">
      <c r="A386" t="s">
        <v>422</v>
      </c>
      <c r="B386" s="21">
        <v>55</v>
      </c>
      <c r="C386" s="21">
        <v>53756</v>
      </c>
      <c r="D386" s="21">
        <v>611</v>
      </c>
      <c r="E386" t="str">
        <f>VLOOKUP(Table13[[#This Row],[Credit_Score]],Table4[],2,TRUE)</f>
        <v>Medium Risk</v>
      </c>
      <c r="F386">
        <v>0.82653049953942603</v>
      </c>
      <c r="G386" t="str">
        <f>IF(Table13[[#This Row],[Credit_Utilization]]&lt;0.3,"Low Utilization",
IF(Table13[[#This Row],[Credit_Utilization]]&lt;0.7,"Moderate Utilization",
"High Utilization"))</f>
        <v>High Utilization</v>
      </c>
      <c r="H386" s="21">
        <v>0</v>
      </c>
      <c r="I386" s="21">
        <v>0</v>
      </c>
      <c r="J386" s="21">
        <v>94309</v>
      </c>
      <c r="K386">
        <v>0.13152993060141699</v>
      </c>
      <c r="L386" t="str">
        <f>IF(Table13[[#This Row],[Debt_to_Income_Ratio]]&lt;0.3,"Low DTI", IF(Table13[[#This Row],[Debt_to_Income_Ratio]]&lt;0.5,"Moderate DTI", "High DTI"))</f>
        <v>Low DTI</v>
      </c>
      <c r="M386" t="s">
        <v>34</v>
      </c>
      <c r="N386" s="21">
        <v>11</v>
      </c>
      <c r="O386" t="s">
        <v>27</v>
      </c>
      <c r="P386" t="s">
        <v>38</v>
      </c>
      <c r="Q386" t="s">
        <v>24</v>
      </c>
      <c r="R386" t="s">
        <v>23</v>
      </c>
      <c r="S386" t="s">
        <v>23</v>
      </c>
      <c r="T386" t="s">
        <v>24</v>
      </c>
      <c r="U386" t="s">
        <v>29</v>
      </c>
      <c r="V386" t="s">
        <v>24</v>
      </c>
    </row>
    <row r="387" spans="1:22">
      <c r="A387" t="s">
        <v>423</v>
      </c>
      <c r="B387" s="21">
        <v>55</v>
      </c>
      <c r="C387" s="21">
        <v>109297</v>
      </c>
      <c r="D387" s="21">
        <v>806</v>
      </c>
      <c r="E387" t="str">
        <f>VLOOKUP(Table13[[#This Row],[Credit_Score]],Table4[],2,TRUE)</f>
        <v>Low Risk</v>
      </c>
      <c r="F387">
        <v>0.44781754677657298</v>
      </c>
      <c r="G387" t="str">
        <f>IF(Table13[[#This Row],[Credit_Utilization]]&lt;0.3,"Low Utilization",
IF(Table13[[#This Row],[Credit_Utilization]]&lt;0.7,"Moderate Utilization",
"High Utilization"))</f>
        <v>Moderate Utilization</v>
      </c>
      <c r="H387" s="21">
        <v>4</v>
      </c>
      <c r="I387" s="21">
        <v>0</v>
      </c>
      <c r="J387" s="21">
        <v>33354</v>
      </c>
      <c r="K387">
        <v>0.1</v>
      </c>
      <c r="L387" t="str">
        <f>IF(Table13[[#This Row],[Debt_to_Income_Ratio]]&lt;0.3,"Low DTI", IF(Table13[[#This Row],[Debt_to_Income_Ratio]]&lt;0.5,"Moderate DTI", "High DTI"))</f>
        <v>Low DTI</v>
      </c>
      <c r="M387" t="s">
        <v>43</v>
      </c>
      <c r="N387" s="21">
        <v>0</v>
      </c>
      <c r="O387" t="s">
        <v>45</v>
      </c>
      <c r="P387" t="s">
        <v>32</v>
      </c>
      <c r="Q387" t="s">
        <v>24</v>
      </c>
      <c r="R387" t="s">
        <v>24</v>
      </c>
      <c r="S387" t="s">
        <v>29</v>
      </c>
      <c r="T387" t="s">
        <v>23</v>
      </c>
      <c r="U387" t="s">
        <v>23</v>
      </c>
      <c r="V387" t="s">
        <v>29</v>
      </c>
    </row>
    <row r="388" spans="1:22">
      <c r="A388" t="s">
        <v>424</v>
      </c>
      <c r="B388" s="21">
        <v>62</v>
      </c>
      <c r="C388" s="21">
        <v>107658</v>
      </c>
      <c r="D388" s="21">
        <v>383</v>
      </c>
      <c r="E388" t="str">
        <f>VLOOKUP(Table13[[#This Row],[Credit_Score]],Table4[],2,TRUE)</f>
        <v>High Risk</v>
      </c>
      <c r="F388">
        <v>0.68889819447823897</v>
      </c>
      <c r="G388" t="str">
        <f>IF(Table13[[#This Row],[Credit_Utilization]]&lt;0.3,"Low Utilization",
IF(Table13[[#This Row],[Credit_Utilization]]&lt;0.7,"Moderate Utilization",
"High Utilization"))</f>
        <v>Moderate Utilization</v>
      </c>
      <c r="H388" s="21">
        <v>4</v>
      </c>
      <c r="I388" s="21">
        <v>0</v>
      </c>
      <c r="J388" s="21">
        <v>48942</v>
      </c>
      <c r="K388">
        <v>0.45397407626758701</v>
      </c>
      <c r="L388" t="str">
        <f>IF(Table13[[#This Row],[Debt_to_Income_Ratio]]&lt;0.3,"Low DTI", IF(Table13[[#This Row],[Debt_to_Income_Ratio]]&lt;0.5,"Moderate DTI", "High DTI"))</f>
        <v>Moderate DTI</v>
      </c>
      <c r="M388" t="s">
        <v>43</v>
      </c>
      <c r="N388" s="21">
        <v>14</v>
      </c>
      <c r="O388" t="s">
        <v>31</v>
      </c>
      <c r="P388" t="s">
        <v>28</v>
      </c>
      <c r="Q388" t="s">
        <v>23</v>
      </c>
      <c r="R388" t="s">
        <v>24</v>
      </c>
      <c r="S388" t="s">
        <v>23</v>
      </c>
      <c r="T388" t="s">
        <v>24</v>
      </c>
      <c r="U388" t="s">
        <v>24</v>
      </c>
      <c r="V388" t="s">
        <v>29</v>
      </c>
    </row>
    <row r="389" spans="1:22">
      <c r="A389" t="s">
        <v>425</v>
      </c>
      <c r="B389" s="21">
        <v>68</v>
      </c>
      <c r="C389" s="21">
        <v>53304</v>
      </c>
      <c r="D389" s="21">
        <v>469</v>
      </c>
      <c r="E389" t="str">
        <f>VLOOKUP(Table13[[#This Row],[Credit_Score]],Table4[],2,TRUE)</f>
        <v>High Risk</v>
      </c>
      <c r="F389">
        <v>0.36215418595662802</v>
      </c>
      <c r="G389" t="str">
        <f>IF(Table13[[#This Row],[Credit_Utilization]]&lt;0.3,"Low Utilization",
IF(Table13[[#This Row],[Credit_Utilization]]&lt;0.7,"Moderate Utilization",
"High Utilization"))</f>
        <v>Moderate Utilization</v>
      </c>
      <c r="H389" s="21">
        <v>2</v>
      </c>
      <c r="I389" s="21">
        <v>0</v>
      </c>
      <c r="J389" s="21">
        <v>31674</v>
      </c>
      <c r="K389">
        <v>0.41059049859172703</v>
      </c>
      <c r="L389" t="str">
        <f>IF(Table13[[#This Row],[Debt_to_Income_Ratio]]&lt;0.3,"Low DTI", IF(Table13[[#This Row],[Debt_to_Income_Ratio]]&lt;0.5,"Moderate DTI", "High DTI"))</f>
        <v>Moderate DTI</v>
      </c>
      <c r="M389" t="s">
        <v>50</v>
      </c>
      <c r="N389" s="21">
        <v>3</v>
      </c>
      <c r="O389" t="s">
        <v>21</v>
      </c>
      <c r="P389" t="s">
        <v>22</v>
      </c>
      <c r="Q389" t="s">
        <v>24</v>
      </c>
      <c r="R389" t="s">
        <v>23</v>
      </c>
      <c r="S389" t="s">
        <v>29</v>
      </c>
      <c r="T389" t="s">
        <v>23</v>
      </c>
      <c r="U389" t="s">
        <v>29</v>
      </c>
      <c r="V389" t="s">
        <v>24</v>
      </c>
    </row>
    <row r="390" spans="1:22">
      <c r="A390" t="s">
        <v>426</v>
      </c>
      <c r="B390" s="21">
        <v>71</v>
      </c>
      <c r="C390" s="21">
        <v>173427</v>
      </c>
      <c r="D390" s="21">
        <v>550</v>
      </c>
      <c r="E390" t="str">
        <f>VLOOKUP(Table13[[#This Row],[Credit_Score]],Table4[],2,TRUE)</f>
        <v>High Risk</v>
      </c>
      <c r="F390">
        <v>0.43950663235852899</v>
      </c>
      <c r="G390" t="str">
        <f>IF(Table13[[#This Row],[Credit_Utilization]]&lt;0.3,"Low Utilization",
IF(Table13[[#This Row],[Credit_Utilization]]&lt;0.7,"Moderate Utilization",
"High Utilization"))</f>
        <v>Moderate Utilization</v>
      </c>
      <c r="H390" s="21">
        <v>6</v>
      </c>
      <c r="I390" s="21">
        <v>0</v>
      </c>
      <c r="J390" s="21">
        <v>3081</v>
      </c>
      <c r="K390">
        <v>0.522601888576669</v>
      </c>
      <c r="L390" t="str">
        <f>IF(Table13[[#This Row],[Debt_to_Income_Ratio]]&lt;0.3,"Low DTI", IF(Table13[[#This Row],[Debt_to_Income_Ratio]]&lt;0.5,"Moderate DTI", "High DTI"))</f>
        <v>High DTI</v>
      </c>
      <c r="M390" t="s">
        <v>43</v>
      </c>
      <c r="N390" s="21">
        <v>12</v>
      </c>
      <c r="O390" t="s">
        <v>21</v>
      </c>
      <c r="P390" t="s">
        <v>28</v>
      </c>
      <c r="Q390" t="s">
        <v>24</v>
      </c>
      <c r="R390" t="s">
        <v>29</v>
      </c>
      <c r="S390" t="s">
        <v>24</v>
      </c>
      <c r="T390" t="s">
        <v>23</v>
      </c>
      <c r="U390" t="s">
        <v>24</v>
      </c>
      <c r="V390" t="s">
        <v>24</v>
      </c>
    </row>
    <row r="391" spans="1:22">
      <c r="A391" t="s">
        <v>427</v>
      </c>
      <c r="B391" s="21">
        <v>25</v>
      </c>
      <c r="C391" s="21">
        <v>140917</v>
      </c>
      <c r="D391" s="21">
        <v>725</v>
      </c>
      <c r="E391" t="str">
        <f>VLOOKUP(Table13[[#This Row],[Credit_Score]],Table4[],2,TRUE)</f>
        <v>Medium Risk</v>
      </c>
      <c r="F391">
        <v>0.33700720308691101</v>
      </c>
      <c r="G391" t="str">
        <f>IF(Table13[[#This Row],[Credit_Utilization]]&lt;0.3,"Low Utilization",
IF(Table13[[#This Row],[Credit_Utilization]]&lt;0.7,"Moderate Utilization",
"High Utilization"))</f>
        <v>Moderate Utilization</v>
      </c>
      <c r="H391" s="21">
        <v>5</v>
      </c>
      <c r="I391" s="21">
        <v>1</v>
      </c>
      <c r="J391" s="21">
        <v>16454</v>
      </c>
      <c r="K391">
        <v>0.30109244855735501</v>
      </c>
      <c r="L391" t="str">
        <f>IF(Table13[[#This Row],[Debt_to_Income_Ratio]]&lt;0.3,"Low DTI", IF(Table13[[#This Row],[Debt_to_Income_Ratio]]&lt;0.5,"Moderate DTI", "High DTI"))</f>
        <v>Moderate DTI</v>
      </c>
      <c r="M391" t="s">
        <v>43</v>
      </c>
      <c r="N391" s="21">
        <v>4</v>
      </c>
      <c r="O391" t="s">
        <v>21</v>
      </c>
      <c r="P391" t="s">
        <v>32</v>
      </c>
      <c r="Q391" t="s">
        <v>29</v>
      </c>
      <c r="R391" t="s">
        <v>24</v>
      </c>
      <c r="S391" t="s">
        <v>23</v>
      </c>
      <c r="T391" t="s">
        <v>24</v>
      </c>
      <c r="U391" t="s">
        <v>24</v>
      </c>
      <c r="V391" t="s">
        <v>24</v>
      </c>
    </row>
    <row r="392" spans="1:22">
      <c r="A392" t="s">
        <v>428</v>
      </c>
      <c r="B392" s="21">
        <v>44</v>
      </c>
      <c r="C392" s="21">
        <v>96317</v>
      </c>
      <c r="D392" s="21">
        <v>685</v>
      </c>
      <c r="E392" t="str">
        <f>VLOOKUP(Table13[[#This Row],[Credit_Score]],Table4[],2,TRUE)</f>
        <v>Medium Risk</v>
      </c>
      <c r="F392">
        <v>7.3373392985897901E-2</v>
      </c>
      <c r="G392" t="str">
        <f>IF(Table13[[#This Row],[Credit_Utilization]]&lt;0.3,"Low Utilization",
IF(Table13[[#This Row],[Credit_Utilization]]&lt;0.7,"Moderate Utilization",
"High Utilization"))</f>
        <v>Low Utilization</v>
      </c>
      <c r="H392" s="21">
        <v>3</v>
      </c>
      <c r="I392" s="21">
        <v>0</v>
      </c>
      <c r="J392" s="21">
        <v>63375</v>
      </c>
      <c r="K392">
        <v>0.29434701166203098</v>
      </c>
      <c r="L392" t="str">
        <f>IF(Table13[[#This Row],[Debt_to_Income_Ratio]]&lt;0.3,"Low DTI", IF(Table13[[#This Row],[Debt_to_Income_Ratio]]&lt;0.5,"Moderate DTI", "High DTI"))</f>
        <v>Low DTI</v>
      </c>
      <c r="M392" t="s">
        <v>26</v>
      </c>
      <c r="N392" s="21">
        <v>1</v>
      </c>
      <c r="O392" t="s">
        <v>31</v>
      </c>
      <c r="P392" t="s">
        <v>38</v>
      </c>
      <c r="Q392" t="s">
        <v>23</v>
      </c>
      <c r="R392" t="s">
        <v>23</v>
      </c>
      <c r="S392" t="s">
        <v>24</v>
      </c>
      <c r="T392" t="s">
        <v>24</v>
      </c>
      <c r="U392" t="s">
        <v>29</v>
      </c>
      <c r="V392" t="s">
        <v>24</v>
      </c>
    </row>
    <row r="393" spans="1:22">
      <c r="A393" t="s">
        <v>429</v>
      </c>
      <c r="B393" s="21">
        <v>44</v>
      </c>
      <c r="C393" s="21">
        <v>93832</v>
      </c>
      <c r="D393" s="21">
        <v>459</v>
      </c>
      <c r="E393" t="str">
        <f>VLOOKUP(Table13[[#This Row],[Credit_Score]],Table4[],2,TRUE)</f>
        <v>High Risk</v>
      </c>
      <c r="F393">
        <v>0.49269333001627702</v>
      </c>
      <c r="G393" t="str">
        <f>IF(Table13[[#This Row],[Credit_Utilization]]&lt;0.3,"Low Utilization",
IF(Table13[[#This Row],[Credit_Utilization]]&lt;0.7,"Moderate Utilization",
"High Utilization"))</f>
        <v>Moderate Utilization</v>
      </c>
      <c r="H393" s="21">
        <v>0</v>
      </c>
      <c r="I393" s="21">
        <v>0</v>
      </c>
      <c r="J393" s="21">
        <v>11587</v>
      </c>
      <c r="K393">
        <v>0.26172812078414398</v>
      </c>
      <c r="L393" t="str">
        <f>IF(Table13[[#This Row],[Debt_to_Income_Ratio]]&lt;0.3,"Low DTI", IF(Table13[[#This Row],[Debt_to_Income_Ratio]]&lt;0.5,"Moderate DTI", "High DTI"))</f>
        <v>Low DTI</v>
      </c>
      <c r="M393" t="s">
        <v>34</v>
      </c>
      <c r="N393" s="21">
        <v>0</v>
      </c>
      <c r="O393" t="s">
        <v>27</v>
      </c>
      <c r="P393" t="s">
        <v>32</v>
      </c>
      <c r="Q393" t="s">
        <v>23</v>
      </c>
      <c r="R393" t="s">
        <v>29</v>
      </c>
      <c r="S393" t="s">
        <v>23</v>
      </c>
      <c r="T393" t="s">
        <v>23</v>
      </c>
      <c r="U393" t="s">
        <v>23</v>
      </c>
      <c r="V393" t="s">
        <v>24</v>
      </c>
    </row>
    <row r="394" spans="1:22">
      <c r="A394" t="s">
        <v>430</v>
      </c>
      <c r="B394" s="21">
        <v>51</v>
      </c>
      <c r="C394" s="21">
        <v>31896</v>
      </c>
      <c r="D394" s="21">
        <v>834</v>
      </c>
      <c r="E394" t="str">
        <f>VLOOKUP(Table13[[#This Row],[Credit_Score]],Table4[],2,TRUE)</f>
        <v>Low Risk</v>
      </c>
      <c r="F394">
        <v>0.52569034751955002</v>
      </c>
      <c r="G394" t="str">
        <f>IF(Table13[[#This Row],[Credit_Utilization]]&lt;0.3,"Low Utilization",
IF(Table13[[#This Row],[Credit_Utilization]]&lt;0.7,"Moderate Utilization",
"High Utilization"))</f>
        <v>Moderate Utilization</v>
      </c>
      <c r="H394" s="21">
        <v>4</v>
      </c>
      <c r="I394" s="21">
        <v>0</v>
      </c>
      <c r="J394" s="21">
        <v>49798</v>
      </c>
      <c r="K394">
        <v>0.23417097587407701</v>
      </c>
      <c r="L394" t="str">
        <f>IF(Table13[[#This Row],[Debt_to_Income_Ratio]]&lt;0.3,"Low DTI", IF(Table13[[#This Row],[Debt_to_Income_Ratio]]&lt;0.5,"Moderate DTI", "High DTI"))</f>
        <v>Low DTI</v>
      </c>
      <c r="M394" t="s">
        <v>26</v>
      </c>
      <c r="N394" s="21">
        <v>15</v>
      </c>
      <c r="O394" t="s">
        <v>37</v>
      </c>
      <c r="P394" t="s">
        <v>53</v>
      </c>
      <c r="Q394" t="s">
        <v>23</v>
      </c>
      <c r="R394" t="s">
        <v>24</v>
      </c>
      <c r="S394" t="s">
        <v>29</v>
      </c>
      <c r="T394" t="s">
        <v>29</v>
      </c>
      <c r="U394" t="s">
        <v>24</v>
      </c>
      <c r="V394" t="s">
        <v>23</v>
      </c>
    </row>
    <row r="395" spans="1:22">
      <c r="A395" t="s">
        <v>431</v>
      </c>
      <c r="B395" s="21">
        <v>38</v>
      </c>
      <c r="C395" s="21">
        <v>107658</v>
      </c>
      <c r="D395" s="21">
        <v>622</v>
      </c>
      <c r="E395" t="str">
        <f>VLOOKUP(Table13[[#This Row],[Credit_Score]],Table4[],2,TRUE)</f>
        <v>Medium Risk</v>
      </c>
      <c r="F395">
        <v>0.71317219975232704</v>
      </c>
      <c r="G395" t="str">
        <f>IF(Table13[[#This Row],[Credit_Utilization]]&lt;0.3,"Low Utilization",
IF(Table13[[#This Row],[Credit_Utilization]]&lt;0.7,"Moderate Utilization",
"High Utilization"))</f>
        <v>High Utilization</v>
      </c>
      <c r="H395" s="21">
        <v>5</v>
      </c>
      <c r="I395" s="21">
        <v>0</v>
      </c>
      <c r="J395" s="21">
        <v>44454</v>
      </c>
      <c r="K395">
        <v>0.260757044554218</v>
      </c>
      <c r="L395" t="str">
        <f>IF(Table13[[#This Row],[Debt_to_Income_Ratio]]&lt;0.3,"Low DTI", IF(Table13[[#This Row],[Debt_to_Income_Ratio]]&lt;0.5,"Moderate DTI", "High DTI"))</f>
        <v>Low DTI</v>
      </c>
      <c r="M395" t="s">
        <v>34</v>
      </c>
      <c r="N395" s="21">
        <v>5</v>
      </c>
      <c r="O395" t="s">
        <v>27</v>
      </c>
      <c r="P395" t="s">
        <v>53</v>
      </c>
      <c r="Q395" t="s">
        <v>29</v>
      </c>
      <c r="R395" t="s">
        <v>24</v>
      </c>
      <c r="S395" t="s">
        <v>23</v>
      </c>
      <c r="T395" t="s">
        <v>29</v>
      </c>
      <c r="U395" t="s">
        <v>24</v>
      </c>
      <c r="V395" t="s">
        <v>29</v>
      </c>
    </row>
    <row r="396" spans="1:22">
      <c r="A396" t="s">
        <v>432</v>
      </c>
      <c r="B396" s="21">
        <v>47</v>
      </c>
      <c r="C396" s="21">
        <v>70284</v>
      </c>
      <c r="D396" s="21">
        <v>528</v>
      </c>
      <c r="E396" t="str">
        <f>VLOOKUP(Table13[[#This Row],[Credit_Score]],Table4[],2,TRUE)</f>
        <v>High Risk</v>
      </c>
      <c r="F396">
        <v>0.65908765053385698</v>
      </c>
      <c r="G396" t="str">
        <f>IF(Table13[[#This Row],[Credit_Utilization]]&lt;0.3,"Low Utilization",
IF(Table13[[#This Row],[Credit_Utilization]]&lt;0.7,"Moderate Utilization",
"High Utilization"))</f>
        <v>Moderate Utilization</v>
      </c>
      <c r="H396" s="21">
        <v>3</v>
      </c>
      <c r="I396" s="21">
        <v>0</v>
      </c>
      <c r="J396" s="21">
        <v>30575</v>
      </c>
      <c r="K396">
        <v>0.32174633323240198</v>
      </c>
      <c r="L396" t="str">
        <f>IF(Table13[[#This Row],[Debt_to_Income_Ratio]]&lt;0.3,"Low DTI", IF(Table13[[#This Row],[Debt_to_Income_Ratio]]&lt;0.5,"Moderate DTI", "High DTI"))</f>
        <v>Moderate DTI</v>
      </c>
      <c r="M396" t="s">
        <v>50</v>
      </c>
      <c r="N396" s="21">
        <v>15</v>
      </c>
      <c r="O396" t="s">
        <v>37</v>
      </c>
      <c r="P396" t="s">
        <v>28</v>
      </c>
      <c r="Q396" t="s">
        <v>29</v>
      </c>
      <c r="R396" t="s">
        <v>23</v>
      </c>
      <c r="S396" t="s">
        <v>29</v>
      </c>
      <c r="T396" t="s">
        <v>29</v>
      </c>
      <c r="U396" t="s">
        <v>24</v>
      </c>
      <c r="V396" t="s">
        <v>24</v>
      </c>
    </row>
    <row r="397" spans="1:22">
      <c r="A397" t="s">
        <v>433</v>
      </c>
      <c r="B397" s="21">
        <v>50</v>
      </c>
      <c r="C397" s="21">
        <v>72043</v>
      </c>
      <c r="D397" s="21">
        <v>308</v>
      </c>
      <c r="E397" t="str">
        <f>VLOOKUP(Table13[[#This Row],[Credit_Score]],Table4[],2,TRUE)</f>
        <v>High Risk</v>
      </c>
      <c r="F397">
        <v>0.66179057980779898</v>
      </c>
      <c r="G397" t="str">
        <f>IF(Table13[[#This Row],[Credit_Utilization]]&lt;0.3,"Low Utilization",
IF(Table13[[#This Row],[Credit_Utilization]]&lt;0.7,"Moderate Utilization",
"High Utilization"))</f>
        <v>Moderate Utilization</v>
      </c>
      <c r="H397" s="21">
        <v>4</v>
      </c>
      <c r="I397" s="21">
        <v>0</v>
      </c>
      <c r="J397" s="21">
        <v>45776</v>
      </c>
      <c r="K397">
        <v>0.215609921308789</v>
      </c>
      <c r="L397" t="str">
        <f>IF(Table13[[#This Row],[Debt_to_Income_Ratio]]&lt;0.3,"Low DTI", IF(Table13[[#This Row],[Debt_to_Income_Ratio]]&lt;0.5,"Moderate DTI", "High DTI"))</f>
        <v>Low DTI</v>
      </c>
      <c r="M397" t="s">
        <v>43</v>
      </c>
      <c r="N397" s="21">
        <v>13</v>
      </c>
      <c r="O397" t="s">
        <v>21</v>
      </c>
      <c r="P397" t="s">
        <v>28</v>
      </c>
      <c r="Q397" t="s">
        <v>29</v>
      </c>
      <c r="R397" t="s">
        <v>29</v>
      </c>
      <c r="S397" t="s">
        <v>29</v>
      </c>
      <c r="T397" t="s">
        <v>24</v>
      </c>
      <c r="U397" t="s">
        <v>24</v>
      </c>
      <c r="V397" t="s">
        <v>23</v>
      </c>
    </row>
    <row r="398" spans="1:22">
      <c r="A398" t="s">
        <v>434</v>
      </c>
      <c r="B398" s="21">
        <v>45</v>
      </c>
      <c r="C398" s="21">
        <v>183152</v>
      </c>
      <c r="D398" s="21">
        <v>656</v>
      </c>
      <c r="E398" t="str">
        <f>VLOOKUP(Table13[[#This Row],[Credit_Score]],Table4[],2,TRUE)</f>
        <v>Medium Risk</v>
      </c>
      <c r="F398">
        <v>0.30519275537642399</v>
      </c>
      <c r="G398" t="str">
        <f>IF(Table13[[#This Row],[Credit_Utilization]]&lt;0.3,"Low Utilization",
IF(Table13[[#This Row],[Credit_Utilization]]&lt;0.7,"Moderate Utilization",
"High Utilization"))</f>
        <v>Moderate Utilization</v>
      </c>
      <c r="H398" s="21">
        <v>4</v>
      </c>
      <c r="I398" s="21">
        <v>0</v>
      </c>
      <c r="J398" s="21">
        <v>24835</v>
      </c>
      <c r="K398">
        <v>0.13307106531260099</v>
      </c>
      <c r="L398" t="str">
        <f>IF(Table13[[#This Row],[Debt_to_Income_Ratio]]&lt;0.3,"Low DTI", IF(Table13[[#This Row],[Debt_to_Income_Ratio]]&lt;0.5,"Moderate DTI", "High DTI"))</f>
        <v>Low DTI</v>
      </c>
      <c r="M398" t="s">
        <v>50</v>
      </c>
      <c r="N398" s="21">
        <v>2</v>
      </c>
      <c r="O398" t="s">
        <v>27</v>
      </c>
      <c r="P398" t="s">
        <v>22</v>
      </c>
      <c r="Q398" t="s">
        <v>29</v>
      </c>
      <c r="R398" t="s">
        <v>23</v>
      </c>
      <c r="S398" t="s">
        <v>29</v>
      </c>
      <c r="T398" t="s">
        <v>24</v>
      </c>
      <c r="U398" t="s">
        <v>29</v>
      </c>
      <c r="V398" t="s">
        <v>23</v>
      </c>
    </row>
    <row r="399" spans="1:22">
      <c r="A399" t="s">
        <v>435</v>
      </c>
      <c r="B399" s="21">
        <v>64</v>
      </c>
      <c r="C399" s="21">
        <v>170576</v>
      </c>
      <c r="D399" s="21">
        <v>337</v>
      </c>
      <c r="E399" t="str">
        <f>VLOOKUP(Table13[[#This Row],[Credit_Score]],Table4[],2,TRUE)</f>
        <v>High Risk</v>
      </c>
      <c r="F399">
        <v>0.59189946121413795</v>
      </c>
      <c r="G399" t="str">
        <f>IF(Table13[[#This Row],[Credit_Utilization]]&lt;0.3,"Low Utilization",
IF(Table13[[#This Row],[Credit_Utilization]]&lt;0.7,"Moderate Utilization",
"High Utilization"))</f>
        <v>Moderate Utilization</v>
      </c>
      <c r="H399" s="21">
        <v>0</v>
      </c>
      <c r="I399" s="21">
        <v>0</v>
      </c>
      <c r="J399" s="21">
        <v>19733</v>
      </c>
      <c r="K399">
        <v>0.31598766340141698</v>
      </c>
      <c r="L399" t="str">
        <f>IF(Table13[[#This Row],[Debt_to_Income_Ratio]]&lt;0.3,"Low DTI", IF(Table13[[#This Row],[Debt_to_Income_Ratio]]&lt;0.5,"Moderate DTI", "High DTI"))</f>
        <v>Moderate DTI</v>
      </c>
      <c r="M399" t="s">
        <v>43</v>
      </c>
      <c r="N399" s="21">
        <v>14</v>
      </c>
      <c r="O399" t="s">
        <v>21</v>
      </c>
      <c r="P399" t="s">
        <v>22</v>
      </c>
      <c r="Q399" t="s">
        <v>23</v>
      </c>
      <c r="R399" t="s">
        <v>24</v>
      </c>
      <c r="S399" t="s">
        <v>24</v>
      </c>
      <c r="T399" t="s">
        <v>23</v>
      </c>
      <c r="U399" t="s">
        <v>29</v>
      </c>
      <c r="V399" t="s">
        <v>24</v>
      </c>
    </row>
    <row r="400" spans="1:22">
      <c r="A400" t="s">
        <v>436</v>
      </c>
      <c r="B400" s="21">
        <v>50</v>
      </c>
      <c r="C400" s="21">
        <v>198401</v>
      </c>
      <c r="D400" s="21">
        <v>523</v>
      </c>
      <c r="E400" t="str">
        <f>VLOOKUP(Table13[[#This Row],[Credit_Score]],Table4[],2,TRUE)</f>
        <v>High Risk</v>
      </c>
      <c r="F400">
        <v>0.81651879309631803</v>
      </c>
      <c r="G400" t="str">
        <f>IF(Table13[[#This Row],[Credit_Utilization]]&lt;0.3,"Low Utilization",
IF(Table13[[#This Row],[Credit_Utilization]]&lt;0.7,"Moderate Utilization",
"High Utilization"))</f>
        <v>High Utilization</v>
      </c>
      <c r="H400" s="21">
        <v>0</v>
      </c>
      <c r="I400" s="21">
        <v>0</v>
      </c>
      <c r="J400" s="21">
        <v>52217</v>
      </c>
      <c r="K400">
        <v>0.21338044013065599</v>
      </c>
      <c r="L400" t="str">
        <f>IF(Table13[[#This Row],[Debt_to_Income_Ratio]]&lt;0.3,"Low DTI", IF(Table13[[#This Row],[Debt_to_Income_Ratio]]&lt;0.5,"Moderate DTI", "High DTI"))</f>
        <v>Low DTI</v>
      </c>
      <c r="M400" t="s">
        <v>50</v>
      </c>
      <c r="N400" s="21">
        <v>2</v>
      </c>
      <c r="O400" t="s">
        <v>45</v>
      </c>
      <c r="P400" t="s">
        <v>53</v>
      </c>
      <c r="Q400" t="s">
        <v>23</v>
      </c>
      <c r="R400" t="s">
        <v>24</v>
      </c>
      <c r="S400" t="s">
        <v>24</v>
      </c>
      <c r="T400" t="s">
        <v>24</v>
      </c>
      <c r="U400" t="s">
        <v>23</v>
      </c>
      <c r="V400" t="s">
        <v>29</v>
      </c>
    </row>
    <row r="401" spans="1:22">
      <c r="A401" t="s">
        <v>437</v>
      </c>
      <c r="B401" s="21">
        <v>22</v>
      </c>
      <c r="C401" s="21">
        <v>86726</v>
      </c>
      <c r="D401" s="21">
        <v>584</v>
      </c>
      <c r="E401" t="str">
        <f>VLOOKUP(Table13[[#This Row],[Credit_Score]],Table4[],2,TRUE)</f>
        <v>High Risk</v>
      </c>
      <c r="F401">
        <v>0.57597357014181605</v>
      </c>
      <c r="G401" t="str">
        <f>IF(Table13[[#This Row],[Credit_Utilization]]&lt;0.3,"Low Utilization",
IF(Table13[[#This Row],[Credit_Utilization]]&lt;0.7,"Moderate Utilization",
"High Utilization"))</f>
        <v>Moderate Utilization</v>
      </c>
      <c r="H401" s="21">
        <v>4</v>
      </c>
      <c r="I401" s="21">
        <v>0</v>
      </c>
      <c r="J401" s="21">
        <v>60278</v>
      </c>
      <c r="K401">
        <v>0.1</v>
      </c>
      <c r="L401" t="str">
        <f>IF(Table13[[#This Row],[Debt_to_Income_Ratio]]&lt;0.3,"Low DTI", IF(Table13[[#This Row],[Debt_to_Income_Ratio]]&lt;0.5,"Moderate DTI", "High DTI"))</f>
        <v>Low DTI</v>
      </c>
      <c r="M401" t="s">
        <v>50</v>
      </c>
      <c r="N401" s="21">
        <v>1</v>
      </c>
      <c r="O401" t="s">
        <v>21</v>
      </c>
      <c r="P401" t="s">
        <v>38</v>
      </c>
      <c r="Q401" t="s">
        <v>29</v>
      </c>
      <c r="R401" t="s">
        <v>23</v>
      </c>
      <c r="S401" t="s">
        <v>29</v>
      </c>
      <c r="T401" t="s">
        <v>23</v>
      </c>
      <c r="U401" t="s">
        <v>24</v>
      </c>
      <c r="V401" t="s">
        <v>29</v>
      </c>
    </row>
    <row r="402" spans="1:22">
      <c r="A402" t="s">
        <v>438</v>
      </c>
      <c r="B402" s="21">
        <v>65</v>
      </c>
      <c r="C402" s="21">
        <v>180421</v>
      </c>
      <c r="D402" s="21">
        <v>762</v>
      </c>
      <c r="E402" t="str">
        <f>VLOOKUP(Table13[[#This Row],[Credit_Score]],Table4[],2,TRUE)</f>
        <v>Low Risk</v>
      </c>
      <c r="F402">
        <v>0.86571872261299898</v>
      </c>
      <c r="G402" t="str">
        <f>IF(Table13[[#This Row],[Credit_Utilization]]&lt;0.3,"Low Utilization",
IF(Table13[[#This Row],[Credit_Utilization]]&lt;0.7,"Moderate Utilization",
"High Utilization"))</f>
        <v>High Utilization</v>
      </c>
      <c r="H402" s="21">
        <v>1</v>
      </c>
      <c r="I402" s="21">
        <v>0</v>
      </c>
      <c r="J402" s="21">
        <v>91557</v>
      </c>
      <c r="K402">
        <v>0.35525673906570099</v>
      </c>
      <c r="L402" t="str">
        <f>IF(Table13[[#This Row],[Debt_to_Income_Ratio]]&lt;0.3,"Low DTI", IF(Table13[[#This Row],[Debt_to_Income_Ratio]]&lt;0.5,"Moderate DTI", "High DTI"))</f>
        <v>Moderate DTI</v>
      </c>
      <c r="M402" t="s">
        <v>43</v>
      </c>
      <c r="N402" s="21">
        <v>0</v>
      </c>
      <c r="O402" t="s">
        <v>21</v>
      </c>
      <c r="P402" t="s">
        <v>32</v>
      </c>
      <c r="Q402" t="s">
        <v>24</v>
      </c>
      <c r="R402" t="s">
        <v>24</v>
      </c>
      <c r="S402" t="s">
        <v>29</v>
      </c>
      <c r="T402" t="s">
        <v>29</v>
      </c>
      <c r="U402" t="s">
        <v>24</v>
      </c>
      <c r="V402" t="s">
        <v>23</v>
      </c>
    </row>
    <row r="403" spans="1:22">
      <c r="A403" t="s">
        <v>439</v>
      </c>
      <c r="B403" s="21">
        <v>36</v>
      </c>
      <c r="C403" s="21">
        <v>107658</v>
      </c>
      <c r="D403" s="21">
        <v>306</v>
      </c>
      <c r="E403" t="str">
        <f>VLOOKUP(Table13[[#This Row],[Credit_Score]],Table4[],2,TRUE)</f>
        <v>High Risk</v>
      </c>
      <c r="F403">
        <v>0.90379322222397196</v>
      </c>
      <c r="G403" t="str">
        <f>IF(Table13[[#This Row],[Credit_Utilization]]&lt;0.3,"Low Utilization",
IF(Table13[[#This Row],[Credit_Utilization]]&lt;0.7,"Moderate Utilization",
"High Utilization"))</f>
        <v>High Utilization</v>
      </c>
      <c r="H403" s="21">
        <v>4</v>
      </c>
      <c r="I403" s="21">
        <v>0</v>
      </c>
      <c r="J403" s="21">
        <v>55345</v>
      </c>
      <c r="K403">
        <v>0.189194096188297</v>
      </c>
      <c r="L403" t="str">
        <f>IF(Table13[[#This Row],[Debt_to_Income_Ratio]]&lt;0.3,"Low DTI", IF(Table13[[#This Row],[Debt_to_Income_Ratio]]&lt;0.5,"Moderate DTI", "High DTI"))</f>
        <v>Low DTI</v>
      </c>
      <c r="M403" t="s">
        <v>34</v>
      </c>
      <c r="N403" s="21">
        <v>8</v>
      </c>
      <c r="O403" t="s">
        <v>37</v>
      </c>
      <c r="P403" t="s">
        <v>22</v>
      </c>
      <c r="Q403" t="s">
        <v>29</v>
      </c>
      <c r="R403" t="s">
        <v>24</v>
      </c>
      <c r="S403" t="s">
        <v>24</v>
      </c>
      <c r="T403" t="s">
        <v>29</v>
      </c>
      <c r="U403" t="s">
        <v>23</v>
      </c>
      <c r="V403" t="s">
        <v>23</v>
      </c>
    </row>
    <row r="404" spans="1:22">
      <c r="A404" t="s">
        <v>440</v>
      </c>
      <c r="B404" s="21">
        <v>21</v>
      </c>
      <c r="C404" s="21">
        <v>57318</v>
      </c>
      <c r="D404" s="21">
        <v>770</v>
      </c>
      <c r="E404" t="str">
        <f>VLOOKUP(Table13[[#This Row],[Credit_Score]],Table4[],2,TRUE)</f>
        <v>Low Risk</v>
      </c>
      <c r="F404">
        <v>0.44630634594167001</v>
      </c>
      <c r="G404" t="str">
        <f>IF(Table13[[#This Row],[Credit_Utilization]]&lt;0.3,"Low Utilization",
IF(Table13[[#This Row],[Credit_Utilization]]&lt;0.7,"Moderate Utilization",
"High Utilization"))</f>
        <v>Moderate Utilization</v>
      </c>
      <c r="H404" s="21">
        <v>5</v>
      </c>
      <c r="I404" s="21">
        <v>1</v>
      </c>
      <c r="J404" s="21">
        <v>3091</v>
      </c>
      <c r="K404">
        <v>0.36617894546907298</v>
      </c>
      <c r="L404" t="str">
        <f>IF(Table13[[#This Row],[Debt_to_Income_Ratio]]&lt;0.3,"Low DTI", IF(Table13[[#This Row],[Debt_to_Income_Ratio]]&lt;0.5,"Moderate DTI", "High DTI"))</f>
        <v>Moderate DTI</v>
      </c>
      <c r="M404" t="s">
        <v>43</v>
      </c>
      <c r="N404" s="21">
        <v>8</v>
      </c>
      <c r="O404" t="s">
        <v>45</v>
      </c>
      <c r="P404" t="s">
        <v>22</v>
      </c>
      <c r="Q404" t="s">
        <v>29</v>
      </c>
      <c r="R404" t="s">
        <v>29</v>
      </c>
      <c r="S404" t="s">
        <v>29</v>
      </c>
      <c r="T404" t="s">
        <v>23</v>
      </c>
      <c r="U404" t="s">
        <v>23</v>
      </c>
      <c r="V404" t="s">
        <v>29</v>
      </c>
    </row>
    <row r="405" spans="1:22">
      <c r="A405" t="s">
        <v>441</v>
      </c>
      <c r="B405" s="21">
        <v>52</v>
      </c>
      <c r="C405" s="21">
        <v>38524</v>
      </c>
      <c r="D405" s="21">
        <v>563</v>
      </c>
      <c r="E405" t="str">
        <f>VLOOKUP(Table13[[#This Row],[Credit_Score]],Table4[],2,TRUE)</f>
        <v>High Risk</v>
      </c>
      <c r="F405">
        <v>0.36061205098388499</v>
      </c>
      <c r="G405" t="str">
        <f>IF(Table13[[#This Row],[Credit_Utilization]]&lt;0.3,"Low Utilization",
IF(Table13[[#This Row],[Credit_Utilization]]&lt;0.7,"Moderate Utilization",
"High Utilization"))</f>
        <v>Moderate Utilization</v>
      </c>
      <c r="H405" s="21">
        <v>4</v>
      </c>
      <c r="I405" s="21">
        <v>0</v>
      </c>
      <c r="J405" s="21">
        <v>32207</v>
      </c>
      <c r="K405">
        <v>0.36378481065159801</v>
      </c>
      <c r="L405" t="str">
        <f>IF(Table13[[#This Row],[Debt_to_Income_Ratio]]&lt;0.3,"Low DTI", IF(Table13[[#This Row],[Debt_to_Income_Ratio]]&lt;0.5,"Moderate DTI", "High DTI"))</f>
        <v>Moderate DTI</v>
      </c>
      <c r="M405" t="s">
        <v>43</v>
      </c>
      <c r="N405" s="21">
        <v>6</v>
      </c>
      <c r="O405" t="s">
        <v>21</v>
      </c>
      <c r="P405" t="s">
        <v>38</v>
      </c>
      <c r="Q405" t="s">
        <v>29</v>
      </c>
      <c r="R405" t="s">
        <v>29</v>
      </c>
      <c r="S405" t="s">
        <v>24</v>
      </c>
      <c r="T405" t="s">
        <v>29</v>
      </c>
      <c r="U405" t="s">
        <v>23</v>
      </c>
      <c r="V405" t="s">
        <v>24</v>
      </c>
    </row>
    <row r="406" spans="1:22">
      <c r="A406" t="s">
        <v>442</v>
      </c>
      <c r="B406" s="21">
        <v>66</v>
      </c>
      <c r="C406" s="21">
        <v>161377</v>
      </c>
      <c r="D406" s="21">
        <v>380</v>
      </c>
      <c r="E406" t="str">
        <f>VLOOKUP(Table13[[#This Row],[Credit_Score]],Table4[],2,TRUE)</f>
        <v>High Risk</v>
      </c>
      <c r="F406">
        <v>0.34770756691620902</v>
      </c>
      <c r="G406" t="str">
        <f>IF(Table13[[#This Row],[Credit_Utilization]]&lt;0.3,"Low Utilization",
IF(Table13[[#This Row],[Credit_Utilization]]&lt;0.7,"Moderate Utilization",
"High Utilization"))</f>
        <v>Moderate Utilization</v>
      </c>
      <c r="H406" s="21">
        <v>2</v>
      </c>
      <c r="I406" s="21">
        <v>0</v>
      </c>
      <c r="J406" s="21">
        <v>98999</v>
      </c>
      <c r="K406">
        <v>0.328359001152283</v>
      </c>
      <c r="L406" t="str">
        <f>IF(Table13[[#This Row],[Debt_to_Income_Ratio]]&lt;0.3,"Low DTI", IF(Table13[[#This Row],[Debt_to_Income_Ratio]]&lt;0.5,"Moderate DTI", "High DTI"))</f>
        <v>Moderate DTI</v>
      </c>
      <c r="M406" t="s">
        <v>50</v>
      </c>
      <c r="N406" s="21">
        <v>2</v>
      </c>
      <c r="O406" t="s">
        <v>21</v>
      </c>
      <c r="P406" t="s">
        <v>38</v>
      </c>
      <c r="Q406" t="s">
        <v>23</v>
      </c>
      <c r="R406" t="s">
        <v>29</v>
      </c>
      <c r="S406" t="s">
        <v>29</v>
      </c>
      <c r="T406" t="s">
        <v>29</v>
      </c>
      <c r="U406" t="s">
        <v>24</v>
      </c>
      <c r="V406" t="s">
        <v>24</v>
      </c>
    </row>
    <row r="407" spans="1:22">
      <c r="A407" t="s">
        <v>443</v>
      </c>
      <c r="B407" s="21">
        <v>34</v>
      </c>
      <c r="C407" s="21">
        <v>119573</v>
      </c>
      <c r="D407" s="21">
        <v>360</v>
      </c>
      <c r="E407" t="str">
        <f>VLOOKUP(Table13[[#This Row],[Credit_Score]],Table4[],2,TRUE)</f>
        <v>High Risk</v>
      </c>
      <c r="F407">
        <v>0.19677283597935499</v>
      </c>
      <c r="G407" t="str">
        <f>IF(Table13[[#This Row],[Credit_Utilization]]&lt;0.3,"Low Utilization",
IF(Table13[[#This Row],[Credit_Utilization]]&lt;0.7,"Moderate Utilization",
"High Utilization"))</f>
        <v>Low Utilization</v>
      </c>
      <c r="H407" s="21">
        <v>6</v>
      </c>
      <c r="I407" s="21">
        <v>0</v>
      </c>
      <c r="J407" s="21">
        <v>90739</v>
      </c>
      <c r="K407">
        <v>0.54968178403564905</v>
      </c>
      <c r="L407" t="str">
        <f>IF(Table13[[#This Row],[Debt_to_Income_Ratio]]&lt;0.3,"Low DTI", IF(Table13[[#This Row],[Debt_to_Income_Ratio]]&lt;0.5,"Moderate DTI", "High DTI"))</f>
        <v>High DTI</v>
      </c>
      <c r="M407" t="s">
        <v>43</v>
      </c>
      <c r="N407" s="21">
        <v>17</v>
      </c>
      <c r="O407" t="s">
        <v>45</v>
      </c>
      <c r="P407" t="s">
        <v>28</v>
      </c>
      <c r="Q407" t="s">
        <v>24</v>
      </c>
      <c r="R407" t="s">
        <v>23</v>
      </c>
      <c r="S407" t="s">
        <v>23</v>
      </c>
      <c r="T407" t="s">
        <v>23</v>
      </c>
      <c r="U407" t="s">
        <v>24</v>
      </c>
      <c r="V407" t="s">
        <v>23</v>
      </c>
    </row>
    <row r="408" spans="1:22">
      <c r="A408" t="s">
        <v>444</v>
      </c>
      <c r="B408" s="21">
        <v>61</v>
      </c>
      <c r="C408" s="21">
        <v>167617</v>
      </c>
      <c r="D408" s="21">
        <v>638</v>
      </c>
      <c r="E408" t="str">
        <f>VLOOKUP(Table13[[#This Row],[Credit_Score]],Table4[],2,TRUE)</f>
        <v>Medium Risk</v>
      </c>
      <c r="F408">
        <v>0.39631942011689503</v>
      </c>
      <c r="G408" t="str">
        <f>IF(Table13[[#This Row],[Credit_Utilization]]&lt;0.3,"Low Utilization",
IF(Table13[[#This Row],[Credit_Utilization]]&lt;0.7,"Moderate Utilization",
"High Utilization"))</f>
        <v>Moderate Utilization</v>
      </c>
      <c r="H408" s="21">
        <v>2</v>
      </c>
      <c r="I408" s="21">
        <v>0</v>
      </c>
      <c r="J408" s="21">
        <v>85780</v>
      </c>
      <c r="K408">
        <v>0.286194815002762</v>
      </c>
      <c r="L408" t="str">
        <f>IF(Table13[[#This Row],[Debt_to_Income_Ratio]]&lt;0.3,"Low DTI", IF(Table13[[#This Row],[Debt_to_Income_Ratio]]&lt;0.5,"Moderate DTI", "High DTI"))</f>
        <v>Low DTI</v>
      </c>
      <c r="M408" t="s">
        <v>50</v>
      </c>
      <c r="N408" s="21">
        <v>10</v>
      </c>
      <c r="O408" t="s">
        <v>45</v>
      </c>
      <c r="P408" t="s">
        <v>32</v>
      </c>
      <c r="Q408" t="s">
        <v>24</v>
      </c>
      <c r="R408" t="s">
        <v>29</v>
      </c>
      <c r="S408" t="s">
        <v>24</v>
      </c>
      <c r="T408" t="s">
        <v>29</v>
      </c>
      <c r="U408" t="s">
        <v>29</v>
      </c>
      <c r="V408" t="s">
        <v>23</v>
      </c>
    </row>
    <row r="409" spans="1:22">
      <c r="A409" t="s">
        <v>445</v>
      </c>
      <c r="B409" s="21">
        <v>45</v>
      </c>
      <c r="C409" s="21">
        <v>107658</v>
      </c>
      <c r="D409" s="21">
        <v>627</v>
      </c>
      <c r="E409" t="str">
        <f>VLOOKUP(Table13[[#This Row],[Credit_Score]],Table4[],2,TRUE)</f>
        <v>Medium Risk</v>
      </c>
      <c r="F409">
        <v>0.741533089951249</v>
      </c>
      <c r="G409" t="str">
        <f>IF(Table13[[#This Row],[Credit_Utilization]]&lt;0.3,"Low Utilization",
IF(Table13[[#This Row],[Credit_Utilization]]&lt;0.7,"Moderate Utilization",
"High Utilization"))</f>
        <v>High Utilization</v>
      </c>
      <c r="H409" s="21">
        <v>2</v>
      </c>
      <c r="I409" s="21">
        <v>0</v>
      </c>
      <c r="J409" s="21">
        <v>44303</v>
      </c>
      <c r="K409">
        <v>0.27143604325014098</v>
      </c>
      <c r="L409" t="str">
        <f>IF(Table13[[#This Row],[Debt_to_Income_Ratio]]&lt;0.3,"Low DTI", IF(Table13[[#This Row],[Debt_to_Income_Ratio]]&lt;0.5,"Moderate DTI", "High DTI"))</f>
        <v>Low DTI</v>
      </c>
      <c r="M409" t="s">
        <v>43</v>
      </c>
      <c r="N409" s="21">
        <v>6</v>
      </c>
      <c r="O409" t="s">
        <v>27</v>
      </c>
      <c r="P409" t="s">
        <v>38</v>
      </c>
      <c r="Q409" t="s">
        <v>29</v>
      </c>
      <c r="R409" t="s">
        <v>24</v>
      </c>
      <c r="S409" t="s">
        <v>29</v>
      </c>
      <c r="T409" t="s">
        <v>23</v>
      </c>
      <c r="U409" t="s">
        <v>24</v>
      </c>
      <c r="V409" t="s">
        <v>24</v>
      </c>
    </row>
    <row r="410" spans="1:22">
      <c r="A410" t="s">
        <v>446</v>
      </c>
      <c r="B410" s="21">
        <v>47</v>
      </c>
      <c r="C410" s="21">
        <v>71570</v>
      </c>
      <c r="D410" s="21">
        <v>341</v>
      </c>
      <c r="E410" t="str">
        <f>VLOOKUP(Table13[[#This Row],[Credit_Score]],Table4[],2,TRUE)</f>
        <v>High Risk</v>
      </c>
      <c r="F410">
        <v>5.9192484949751899E-2</v>
      </c>
      <c r="G410" t="str">
        <f>IF(Table13[[#This Row],[Credit_Utilization]]&lt;0.3,"Low Utilization",
IF(Table13[[#This Row],[Credit_Utilization]]&lt;0.7,"Moderate Utilization",
"High Utilization"))</f>
        <v>Low Utilization</v>
      </c>
      <c r="H410" s="21">
        <v>1</v>
      </c>
      <c r="I410" s="21">
        <v>0</v>
      </c>
      <c r="J410" s="21">
        <v>39582</v>
      </c>
      <c r="K410">
        <v>0.36836724214169098</v>
      </c>
      <c r="L410" t="str">
        <f>IF(Table13[[#This Row],[Debt_to_Income_Ratio]]&lt;0.3,"Low DTI", IF(Table13[[#This Row],[Debt_to_Income_Ratio]]&lt;0.5,"Moderate DTI", "High DTI"))</f>
        <v>Moderate DTI</v>
      </c>
      <c r="M410" t="s">
        <v>26</v>
      </c>
      <c r="N410" s="21">
        <v>8</v>
      </c>
      <c r="O410" t="s">
        <v>37</v>
      </c>
      <c r="P410" t="s">
        <v>22</v>
      </c>
      <c r="Q410" t="s">
        <v>29</v>
      </c>
      <c r="R410" t="s">
        <v>23</v>
      </c>
      <c r="S410" t="s">
        <v>23</v>
      </c>
      <c r="T410" t="s">
        <v>23</v>
      </c>
      <c r="U410" t="s">
        <v>29</v>
      </c>
      <c r="V410" t="s">
        <v>23</v>
      </c>
    </row>
    <row r="411" spans="1:22">
      <c r="A411" t="s">
        <v>447</v>
      </c>
      <c r="B411" s="21">
        <v>46</v>
      </c>
      <c r="C411" s="21">
        <v>165580</v>
      </c>
      <c r="D411" s="21">
        <v>734</v>
      </c>
      <c r="E411" t="str">
        <f>VLOOKUP(Table13[[#This Row],[Credit_Score]],Table4[],2,TRUE)</f>
        <v>Medium Risk</v>
      </c>
      <c r="F411">
        <v>0.29250931985724998</v>
      </c>
      <c r="G411" t="str">
        <f>IF(Table13[[#This Row],[Credit_Utilization]]&lt;0.3,"Low Utilization",
IF(Table13[[#This Row],[Credit_Utilization]]&lt;0.7,"Moderate Utilization",
"High Utilization"))</f>
        <v>Low Utilization</v>
      </c>
      <c r="H411" s="21">
        <v>1</v>
      </c>
      <c r="I411" s="21">
        <v>0</v>
      </c>
      <c r="J411" s="21">
        <v>1217</v>
      </c>
      <c r="K411">
        <v>0.29445526378862003</v>
      </c>
      <c r="L411" t="str">
        <f>IF(Table13[[#This Row],[Debt_to_Income_Ratio]]&lt;0.3,"Low DTI", IF(Table13[[#This Row],[Debt_to_Income_Ratio]]&lt;0.5,"Moderate DTI", "High DTI"))</f>
        <v>Low DTI</v>
      </c>
      <c r="M411" t="s">
        <v>43</v>
      </c>
      <c r="N411" s="21">
        <v>0</v>
      </c>
      <c r="O411" t="s">
        <v>45</v>
      </c>
      <c r="P411" t="s">
        <v>22</v>
      </c>
      <c r="Q411" t="s">
        <v>29</v>
      </c>
      <c r="R411" t="s">
        <v>23</v>
      </c>
      <c r="S411" t="s">
        <v>24</v>
      </c>
      <c r="T411" t="s">
        <v>29</v>
      </c>
      <c r="U411" t="s">
        <v>24</v>
      </c>
      <c r="V411" t="s">
        <v>29</v>
      </c>
    </row>
    <row r="412" spans="1:22">
      <c r="A412" t="s">
        <v>448</v>
      </c>
      <c r="B412" s="21">
        <v>63</v>
      </c>
      <c r="C412" s="21">
        <v>154487</v>
      </c>
      <c r="D412" s="21">
        <v>595</v>
      </c>
      <c r="E412" t="str">
        <f>VLOOKUP(Table13[[#This Row],[Credit_Score]],Table4[],2,TRUE)</f>
        <v>High Risk</v>
      </c>
      <c r="F412">
        <v>0.4745737116696</v>
      </c>
      <c r="G412" t="str">
        <f>IF(Table13[[#This Row],[Credit_Utilization]]&lt;0.3,"Low Utilization",
IF(Table13[[#This Row],[Credit_Utilization]]&lt;0.7,"Moderate Utilization",
"High Utilization"))</f>
        <v>Moderate Utilization</v>
      </c>
      <c r="H412" s="21">
        <v>4</v>
      </c>
      <c r="I412" s="21">
        <v>0</v>
      </c>
      <c r="J412" s="21">
        <v>89616</v>
      </c>
      <c r="K412">
        <v>0.4160493537394</v>
      </c>
      <c r="L412" t="str">
        <f>IF(Table13[[#This Row],[Debt_to_Income_Ratio]]&lt;0.3,"Low DTI", IF(Table13[[#This Row],[Debt_to_Income_Ratio]]&lt;0.5,"Moderate DTI", "High DTI"))</f>
        <v>Moderate DTI</v>
      </c>
      <c r="M412" t="s">
        <v>43</v>
      </c>
      <c r="N412" s="21">
        <v>13</v>
      </c>
      <c r="O412" t="s">
        <v>45</v>
      </c>
      <c r="P412" t="s">
        <v>53</v>
      </c>
      <c r="Q412" t="s">
        <v>29</v>
      </c>
      <c r="R412" t="s">
        <v>24</v>
      </c>
      <c r="S412" t="s">
        <v>24</v>
      </c>
      <c r="T412" t="s">
        <v>24</v>
      </c>
      <c r="U412" t="s">
        <v>23</v>
      </c>
      <c r="V412" t="s">
        <v>24</v>
      </c>
    </row>
    <row r="413" spans="1:22">
      <c r="A413" t="s">
        <v>449</v>
      </c>
      <c r="B413" s="21">
        <v>70</v>
      </c>
      <c r="C413" s="21">
        <v>130359</v>
      </c>
      <c r="D413" s="21">
        <v>835</v>
      </c>
      <c r="E413" t="str">
        <f>VLOOKUP(Table13[[#This Row],[Credit_Score]],Table4[],2,TRUE)</f>
        <v>Low Risk</v>
      </c>
      <c r="F413">
        <v>0.32456295987565997</v>
      </c>
      <c r="G413" t="str">
        <f>IF(Table13[[#This Row],[Credit_Utilization]]&lt;0.3,"Low Utilization",
IF(Table13[[#This Row],[Credit_Utilization]]&lt;0.7,"Moderate Utilization",
"High Utilization"))</f>
        <v>Moderate Utilization</v>
      </c>
      <c r="H413" s="21">
        <v>2</v>
      </c>
      <c r="I413" s="21">
        <v>0</v>
      </c>
      <c r="J413" s="21">
        <v>47906</v>
      </c>
      <c r="K413">
        <v>0.17311940924244701</v>
      </c>
      <c r="L413" t="str">
        <f>IF(Table13[[#This Row],[Debt_to_Income_Ratio]]&lt;0.3,"Low DTI", IF(Table13[[#This Row],[Debt_to_Income_Ratio]]&lt;0.5,"Moderate DTI", "High DTI"))</f>
        <v>Low DTI</v>
      </c>
      <c r="M413" t="s">
        <v>43</v>
      </c>
      <c r="N413" s="21">
        <v>19</v>
      </c>
      <c r="O413" t="s">
        <v>31</v>
      </c>
      <c r="P413" t="s">
        <v>38</v>
      </c>
      <c r="Q413" t="s">
        <v>24</v>
      </c>
      <c r="R413" t="s">
        <v>29</v>
      </c>
      <c r="S413" t="s">
        <v>23</v>
      </c>
      <c r="T413" t="s">
        <v>23</v>
      </c>
      <c r="U413" t="s">
        <v>23</v>
      </c>
      <c r="V413" t="s">
        <v>24</v>
      </c>
    </row>
    <row r="414" spans="1:22">
      <c r="A414" t="s">
        <v>450</v>
      </c>
      <c r="B414" s="21">
        <v>23</v>
      </c>
      <c r="C414" s="21">
        <v>58919</v>
      </c>
      <c r="D414" s="21">
        <v>784</v>
      </c>
      <c r="E414" t="str">
        <f>VLOOKUP(Table13[[#This Row],[Credit_Score]],Table4[],2,TRUE)</f>
        <v>Low Risk</v>
      </c>
      <c r="F414">
        <v>0.394542811151955</v>
      </c>
      <c r="G414" t="str">
        <f>IF(Table13[[#This Row],[Credit_Utilization]]&lt;0.3,"Low Utilization",
IF(Table13[[#This Row],[Credit_Utilization]]&lt;0.7,"Moderate Utilization",
"High Utilization"))</f>
        <v>Moderate Utilization</v>
      </c>
      <c r="H414" s="21">
        <v>1</v>
      </c>
      <c r="I414" s="21">
        <v>0</v>
      </c>
      <c r="J414" s="21">
        <v>45776</v>
      </c>
      <c r="K414">
        <v>0.17478255525356501</v>
      </c>
      <c r="L414" t="str">
        <f>IF(Table13[[#This Row],[Debt_to_Income_Ratio]]&lt;0.3,"Low DTI", IF(Table13[[#This Row],[Debt_to_Income_Ratio]]&lt;0.5,"Moderate DTI", "High DTI"))</f>
        <v>Low DTI</v>
      </c>
      <c r="M414" t="s">
        <v>43</v>
      </c>
      <c r="N414" s="21">
        <v>5</v>
      </c>
      <c r="O414" t="s">
        <v>45</v>
      </c>
      <c r="P414" t="s">
        <v>28</v>
      </c>
      <c r="Q414" t="s">
        <v>24</v>
      </c>
      <c r="R414" t="s">
        <v>29</v>
      </c>
      <c r="S414" t="s">
        <v>23</v>
      </c>
      <c r="T414" t="s">
        <v>24</v>
      </c>
      <c r="U414" t="s">
        <v>29</v>
      </c>
      <c r="V414" t="s">
        <v>23</v>
      </c>
    </row>
    <row r="415" spans="1:22">
      <c r="A415" t="s">
        <v>451</v>
      </c>
      <c r="B415" s="21">
        <v>52</v>
      </c>
      <c r="C415" s="21">
        <v>109074</v>
      </c>
      <c r="D415" s="21">
        <v>401</v>
      </c>
      <c r="E415" t="str">
        <f>VLOOKUP(Table13[[#This Row],[Credit_Score]],Table4[],2,TRUE)</f>
        <v>High Risk</v>
      </c>
      <c r="F415">
        <v>0.39753406511553901</v>
      </c>
      <c r="G415" t="str">
        <f>IF(Table13[[#This Row],[Credit_Utilization]]&lt;0.3,"Low Utilization",
IF(Table13[[#This Row],[Credit_Utilization]]&lt;0.7,"Moderate Utilization",
"High Utilization"))</f>
        <v>Moderate Utilization</v>
      </c>
      <c r="H415" s="21">
        <v>0</v>
      </c>
      <c r="I415" s="21">
        <v>0</v>
      </c>
      <c r="J415" s="21">
        <v>61210</v>
      </c>
      <c r="K415">
        <v>0.37658094913262102</v>
      </c>
      <c r="L415" t="str">
        <f>IF(Table13[[#This Row],[Debt_to_Income_Ratio]]&lt;0.3,"Low DTI", IF(Table13[[#This Row],[Debt_to_Income_Ratio]]&lt;0.5,"Moderate DTI", "High DTI"))</f>
        <v>Moderate DTI</v>
      </c>
      <c r="M415" t="s">
        <v>50</v>
      </c>
      <c r="N415" s="21">
        <v>6</v>
      </c>
      <c r="O415" t="s">
        <v>37</v>
      </c>
      <c r="P415" t="s">
        <v>32</v>
      </c>
      <c r="Q415" t="s">
        <v>23</v>
      </c>
      <c r="R415" t="s">
        <v>24</v>
      </c>
      <c r="S415" t="s">
        <v>29</v>
      </c>
      <c r="T415" t="s">
        <v>29</v>
      </c>
      <c r="U415" t="s">
        <v>24</v>
      </c>
      <c r="V415" t="s">
        <v>24</v>
      </c>
    </row>
    <row r="416" spans="1:22">
      <c r="A416" t="s">
        <v>452</v>
      </c>
      <c r="B416" s="21">
        <v>58</v>
      </c>
      <c r="C416" s="21">
        <v>152326</v>
      </c>
      <c r="D416" s="21">
        <v>474</v>
      </c>
      <c r="E416" t="str">
        <f>VLOOKUP(Table13[[#This Row],[Credit_Score]],Table4[],2,TRUE)</f>
        <v>High Risk</v>
      </c>
      <c r="F416">
        <v>0.44849195598765002</v>
      </c>
      <c r="G416" t="str">
        <f>IF(Table13[[#This Row],[Credit_Utilization]]&lt;0.3,"Low Utilization",
IF(Table13[[#This Row],[Credit_Utilization]]&lt;0.7,"Moderate Utilization",
"High Utilization"))</f>
        <v>Moderate Utilization</v>
      </c>
      <c r="H416" s="21">
        <v>4</v>
      </c>
      <c r="I416" s="21">
        <v>1</v>
      </c>
      <c r="J416" s="21">
        <v>5626</v>
      </c>
      <c r="K416">
        <v>0.18351890606613899</v>
      </c>
      <c r="L416" t="str">
        <f>IF(Table13[[#This Row],[Debt_to_Income_Ratio]]&lt;0.3,"Low DTI", IF(Table13[[#This Row],[Debt_to_Income_Ratio]]&lt;0.5,"Moderate DTI", "High DTI"))</f>
        <v>Low DTI</v>
      </c>
      <c r="M416" t="s">
        <v>34</v>
      </c>
      <c r="N416" s="21">
        <v>9</v>
      </c>
      <c r="O416" t="s">
        <v>21</v>
      </c>
      <c r="P416" t="s">
        <v>28</v>
      </c>
      <c r="Q416" t="s">
        <v>29</v>
      </c>
      <c r="R416" t="s">
        <v>24</v>
      </c>
      <c r="S416" t="s">
        <v>23</v>
      </c>
      <c r="T416" t="s">
        <v>24</v>
      </c>
      <c r="U416" t="s">
        <v>29</v>
      </c>
      <c r="V416" t="s">
        <v>23</v>
      </c>
    </row>
    <row r="417" spans="1:22">
      <c r="A417" t="s">
        <v>453</v>
      </c>
      <c r="B417" s="21">
        <v>54</v>
      </c>
      <c r="C417" s="21">
        <v>40934</v>
      </c>
      <c r="D417" s="21">
        <v>694</v>
      </c>
      <c r="E417" t="str">
        <f>VLOOKUP(Table13[[#This Row],[Credit_Score]],Table4[],2,TRUE)</f>
        <v>Medium Risk</v>
      </c>
      <c r="F417">
        <v>0.35410906077805199</v>
      </c>
      <c r="G417" t="str">
        <f>IF(Table13[[#This Row],[Credit_Utilization]]&lt;0.3,"Low Utilization",
IF(Table13[[#This Row],[Credit_Utilization]]&lt;0.7,"Moderate Utilization",
"High Utilization"))</f>
        <v>Moderate Utilization</v>
      </c>
      <c r="H417" s="21">
        <v>5</v>
      </c>
      <c r="I417" s="21">
        <v>0</v>
      </c>
      <c r="J417" s="21">
        <v>62561</v>
      </c>
      <c r="K417">
        <v>0.360909860644271</v>
      </c>
      <c r="L417" t="str">
        <f>IF(Table13[[#This Row],[Debt_to_Income_Ratio]]&lt;0.3,"Low DTI", IF(Table13[[#This Row],[Debt_to_Income_Ratio]]&lt;0.5,"Moderate DTI", "High DTI"))</f>
        <v>Moderate DTI</v>
      </c>
      <c r="M417" t="s">
        <v>34</v>
      </c>
      <c r="N417" s="21">
        <v>6</v>
      </c>
      <c r="O417" t="s">
        <v>21</v>
      </c>
      <c r="P417" t="s">
        <v>22</v>
      </c>
      <c r="Q417" t="s">
        <v>24</v>
      </c>
      <c r="R417" t="s">
        <v>23</v>
      </c>
      <c r="S417" t="s">
        <v>23</v>
      </c>
      <c r="T417" t="s">
        <v>29</v>
      </c>
      <c r="U417" t="s">
        <v>24</v>
      </c>
      <c r="V417" t="s">
        <v>23</v>
      </c>
    </row>
    <row r="418" spans="1:22">
      <c r="A418" t="s">
        <v>454</v>
      </c>
      <c r="B418" s="21">
        <v>41</v>
      </c>
      <c r="C418" s="21">
        <v>126888</v>
      </c>
      <c r="D418" s="21">
        <v>793</v>
      </c>
      <c r="E418" t="str">
        <f>VLOOKUP(Table13[[#This Row],[Credit_Score]],Table4[],2,TRUE)</f>
        <v>Low Risk</v>
      </c>
      <c r="F418">
        <v>0.33775735722889</v>
      </c>
      <c r="G418" t="str">
        <f>IF(Table13[[#This Row],[Credit_Utilization]]&lt;0.3,"Low Utilization",
IF(Table13[[#This Row],[Credit_Utilization]]&lt;0.7,"Moderate Utilization",
"High Utilization"))</f>
        <v>Moderate Utilization</v>
      </c>
      <c r="H418" s="21">
        <v>6</v>
      </c>
      <c r="I418" s="21">
        <v>0</v>
      </c>
      <c r="J418" s="21">
        <v>63412</v>
      </c>
      <c r="K418">
        <v>0.33700028462103598</v>
      </c>
      <c r="L418" t="str">
        <f>IF(Table13[[#This Row],[Debt_to_Income_Ratio]]&lt;0.3,"Low DTI", IF(Table13[[#This Row],[Debt_to_Income_Ratio]]&lt;0.5,"Moderate DTI", "High DTI"))</f>
        <v>Moderate DTI</v>
      </c>
      <c r="M418" t="s">
        <v>34</v>
      </c>
      <c r="N418" s="21">
        <v>1</v>
      </c>
      <c r="O418" t="s">
        <v>21</v>
      </c>
      <c r="P418" t="s">
        <v>28</v>
      </c>
      <c r="Q418" t="s">
        <v>23</v>
      </c>
      <c r="R418" t="s">
        <v>29</v>
      </c>
      <c r="S418" t="s">
        <v>29</v>
      </c>
      <c r="T418" t="s">
        <v>23</v>
      </c>
      <c r="U418" t="s">
        <v>24</v>
      </c>
      <c r="V418" t="s">
        <v>23</v>
      </c>
    </row>
    <row r="419" spans="1:22">
      <c r="A419" t="s">
        <v>455</v>
      </c>
      <c r="B419" s="21">
        <v>46</v>
      </c>
      <c r="C419" s="21">
        <v>73243</v>
      </c>
      <c r="D419" s="21">
        <v>595</v>
      </c>
      <c r="E419" t="str">
        <f>VLOOKUP(Table13[[#This Row],[Credit_Score]],Table4[],2,TRUE)</f>
        <v>High Risk</v>
      </c>
      <c r="F419">
        <v>0.68686194918424603</v>
      </c>
      <c r="G419" t="str">
        <f>IF(Table13[[#This Row],[Credit_Utilization]]&lt;0.3,"Low Utilization",
IF(Table13[[#This Row],[Credit_Utilization]]&lt;0.7,"Moderate Utilization",
"High Utilization"))</f>
        <v>Moderate Utilization</v>
      </c>
      <c r="H419" s="21">
        <v>3</v>
      </c>
      <c r="I419" s="21">
        <v>0</v>
      </c>
      <c r="J419" s="21">
        <v>62253</v>
      </c>
      <c r="K419">
        <v>0.230551171397233</v>
      </c>
      <c r="L419" t="str">
        <f>IF(Table13[[#This Row],[Debt_to_Income_Ratio]]&lt;0.3,"Low DTI", IF(Table13[[#This Row],[Debt_to_Income_Ratio]]&lt;0.5,"Moderate DTI", "High DTI"))</f>
        <v>Low DTI</v>
      </c>
      <c r="M419" t="s">
        <v>50</v>
      </c>
      <c r="N419" s="21">
        <v>3</v>
      </c>
      <c r="O419" t="s">
        <v>21</v>
      </c>
      <c r="P419" t="s">
        <v>22</v>
      </c>
      <c r="Q419" t="s">
        <v>23</v>
      </c>
      <c r="R419" t="s">
        <v>23</v>
      </c>
      <c r="S419" t="s">
        <v>23</v>
      </c>
      <c r="T419" t="s">
        <v>29</v>
      </c>
      <c r="U419" t="s">
        <v>29</v>
      </c>
      <c r="V419" t="s">
        <v>23</v>
      </c>
    </row>
    <row r="420" spans="1:22">
      <c r="A420" t="s">
        <v>456</v>
      </c>
      <c r="B420" s="21">
        <v>66</v>
      </c>
      <c r="C420" s="21">
        <v>107658</v>
      </c>
      <c r="D420" s="21">
        <v>452</v>
      </c>
      <c r="E420" t="str">
        <f>VLOOKUP(Table13[[#This Row],[Credit_Score]],Table4[],2,TRUE)</f>
        <v>High Risk</v>
      </c>
      <c r="F420">
        <v>0.70993083557206904</v>
      </c>
      <c r="G420" t="str">
        <f>IF(Table13[[#This Row],[Credit_Utilization]]&lt;0.3,"Low Utilization",
IF(Table13[[#This Row],[Credit_Utilization]]&lt;0.7,"Moderate Utilization",
"High Utilization"))</f>
        <v>High Utilization</v>
      </c>
      <c r="H420" s="21">
        <v>4</v>
      </c>
      <c r="I420" s="21">
        <v>0</v>
      </c>
      <c r="J420" s="21">
        <v>46333</v>
      </c>
      <c r="K420">
        <v>0.33671701602334297</v>
      </c>
      <c r="L420" t="str">
        <f>IF(Table13[[#This Row],[Debt_to_Income_Ratio]]&lt;0.3,"Low DTI", IF(Table13[[#This Row],[Debt_to_Income_Ratio]]&lt;0.5,"Moderate DTI", "High DTI"))</f>
        <v>Moderate DTI</v>
      </c>
      <c r="M420" t="s">
        <v>43</v>
      </c>
      <c r="N420" s="21">
        <v>16</v>
      </c>
      <c r="O420" t="s">
        <v>31</v>
      </c>
      <c r="P420" t="s">
        <v>22</v>
      </c>
      <c r="Q420" t="s">
        <v>23</v>
      </c>
      <c r="R420" t="s">
        <v>23</v>
      </c>
      <c r="S420" t="s">
        <v>23</v>
      </c>
      <c r="T420" t="s">
        <v>23</v>
      </c>
      <c r="U420" t="s">
        <v>29</v>
      </c>
      <c r="V420" t="s">
        <v>29</v>
      </c>
    </row>
    <row r="421" spans="1:22">
      <c r="A421" t="s">
        <v>457</v>
      </c>
      <c r="B421" s="21">
        <v>63</v>
      </c>
      <c r="C421" s="21">
        <v>65990</v>
      </c>
      <c r="D421" s="21">
        <v>766</v>
      </c>
      <c r="E421" t="str">
        <f>VLOOKUP(Table13[[#This Row],[Credit_Score]],Table4[],2,TRUE)</f>
        <v>Low Risk</v>
      </c>
      <c r="F421">
        <v>0.223891330950518</v>
      </c>
      <c r="G421" t="str">
        <f>IF(Table13[[#This Row],[Credit_Utilization]]&lt;0.3,"Low Utilization",
IF(Table13[[#This Row],[Credit_Utilization]]&lt;0.7,"Moderate Utilization",
"High Utilization"))</f>
        <v>Low Utilization</v>
      </c>
      <c r="H421" s="21">
        <v>3</v>
      </c>
      <c r="I421" s="21">
        <v>0</v>
      </c>
      <c r="J421" s="21">
        <v>62253</v>
      </c>
      <c r="K421">
        <v>0.17654075542157599</v>
      </c>
      <c r="L421" t="str">
        <f>IF(Table13[[#This Row],[Debt_to_Income_Ratio]]&lt;0.3,"Low DTI", IF(Table13[[#This Row],[Debt_to_Income_Ratio]]&lt;0.5,"Moderate DTI", "High DTI"))</f>
        <v>Low DTI</v>
      </c>
      <c r="M421" t="s">
        <v>34</v>
      </c>
      <c r="N421" s="21">
        <v>0</v>
      </c>
      <c r="O421" t="s">
        <v>45</v>
      </c>
      <c r="P421" t="s">
        <v>22</v>
      </c>
      <c r="Q421" t="s">
        <v>23</v>
      </c>
      <c r="R421" t="s">
        <v>23</v>
      </c>
      <c r="S421" t="s">
        <v>23</v>
      </c>
      <c r="T421" t="s">
        <v>29</v>
      </c>
      <c r="U421" t="s">
        <v>29</v>
      </c>
      <c r="V421" t="s">
        <v>24</v>
      </c>
    </row>
    <row r="422" spans="1:22">
      <c r="A422" t="s">
        <v>458</v>
      </c>
      <c r="B422" s="21">
        <v>70</v>
      </c>
      <c r="C422" s="21">
        <v>180983</v>
      </c>
      <c r="D422" s="21">
        <v>711</v>
      </c>
      <c r="E422" t="str">
        <f>VLOOKUP(Table13[[#This Row],[Credit_Score]],Table4[],2,TRUE)</f>
        <v>Medium Risk</v>
      </c>
      <c r="F422">
        <v>0.05</v>
      </c>
      <c r="G422" t="str">
        <f>IF(Table13[[#This Row],[Credit_Utilization]]&lt;0.3,"Low Utilization",
IF(Table13[[#This Row],[Credit_Utilization]]&lt;0.7,"Moderate Utilization",
"High Utilization"))</f>
        <v>Low Utilization</v>
      </c>
      <c r="H422" s="21">
        <v>2</v>
      </c>
      <c r="I422" s="21">
        <v>0</v>
      </c>
      <c r="J422" s="21">
        <v>73733</v>
      </c>
      <c r="K422">
        <v>0.20001000737362901</v>
      </c>
      <c r="L422" t="str">
        <f>IF(Table13[[#This Row],[Debt_to_Income_Ratio]]&lt;0.3,"Low DTI", IF(Table13[[#This Row],[Debt_to_Income_Ratio]]&lt;0.5,"Moderate DTI", "High DTI"))</f>
        <v>Low DTI</v>
      </c>
      <c r="M422" t="s">
        <v>26</v>
      </c>
      <c r="N422" s="21">
        <v>9</v>
      </c>
      <c r="O422" t="s">
        <v>21</v>
      </c>
      <c r="P422" t="s">
        <v>22</v>
      </c>
      <c r="Q422" t="s">
        <v>24</v>
      </c>
      <c r="R422" t="s">
        <v>24</v>
      </c>
      <c r="S422" t="s">
        <v>23</v>
      </c>
      <c r="T422" t="s">
        <v>24</v>
      </c>
      <c r="U422" t="s">
        <v>29</v>
      </c>
      <c r="V422" t="s">
        <v>24</v>
      </c>
    </row>
    <row r="423" spans="1:22">
      <c r="A423" t="s">
        <v>459</v>
      </c>
      <c r="B423" s="21">
        <v>48</v>
      </c>
      <c r="C423" s="21">
        <v>196415</v>
      </c>
      <c r="D423" s="21">
        <v>415</v>
      </c>
      <c r="E423" t="str">
        <f>VLOOKUP(Table13[[#This Row],[Credit_Score]],Table4[],2,TRUE)</f>
        <v>High Risk</v>
      </c>
      <c r="F423">
        <v>0.712674969914186</v>
      </c>
      <c r="G423" t="str">
        <f>IF(Table13[[#This Row],[Credit_Utilization]]&lt;0.3,"Low Utilization",
IF(Table13[[#This Row],[Credit_Utilization]]&lt;0.7,"Moderate Utilization",
"High Utilization"))</f>
        <v>High Utilization</v>
      </c>
      <c r="H423" s="21">
        <v>6</v>
      </c>
      <c r="I423" s="21">
        <v>0</v>
      </c>
      <c r="J423" s="21">
        <v>95276</v>
      </c>
      <c r="K423">
        <v>0.27628122615879303</v>
      </c>
      <c r="L423" t="str">
        <f>IF(Table13[[#This Row],[Debt_to_Income_Ratio]]&lt;0.3,"Low DTI", IF(Table13[[#This Row],[Debt_to_Income_Ratio]]&lt;0.5,"Moderate DTI", "High DTI"))</f>
        <v>Low DTI</v>
      </c>
      <c r="M423" t="s">
        <v>43</v>
      </c>
      <c r="N423" s="21">
        <v>18</v>
      </c>
      <c r="O423" t="s">
        <v>27</v>
      </c>
      <c r="P423" t="s">
        <v>22</v>
      </c>
      <c r="Q423" t="s">
        <v>29</v>
      </c>
      <c r="R423" t="s">
        <v>23</v>
      </c>
      <c r="S423" t="s">
        <v>23</v>
      </c>
      <c r="T423" t="s">
        <v>29</v>
      </c>
      <c r="U423" t="s">
        <v>24</v>
      </c>
      <c r="V423" t="s">
        <v>24</v>
      </c>
    </row>
    <row r="424" spans="1:22">
      <c r="A424" t="s">
        <v>460</v>
      </c>
      <c r="B424" s="21">
        <v>52</v>
      </c>
      <c r="C424" s="21">
        <v>179506</v>
      </c>
      <c r="D424" s="21">
        <v>398</v>
      </c>
      <c r="E424" t="str">
        <f>VLOOKUP(Table13[[#This Row],[Credit_Score]],Table4[],2,TRUE)</f>
        <v>High Risk</v>
      </c>
      <c r="F424">
        <v>0.25423991628957199</v>
      </c>
      <c r="G424" t="str">
        <f>IF(Table13[[#This Row],[Credit_Utilization]]&lt;0.3,"Low Utilization",
IF(Table13[[#This Row],[Credit_Utilization]]&lt;0.7,"Moderate Utilization",
"High Utilization"))</f>
        <v>Low Utilization</v>
      </c>
      <c r="H424" s="21">
        <v>3</v>
      </c>
      <c r="I424" s="21">
        <v>0</v>
      </c>
      <c r="J424" s="21">
        <v>59691</v>
      </c>
      <c r="K424">
        <v>0.30789278190722202</v>
      </c>
      <c r="L424" t="str">
        <f>IF(Table13[[#This Row],[Debt_to_Income_Ratio]]&lt;0.3,"Low DTI", IF(Table13[[#This Row],[Debt_to_Income_Ratio]]&lt;0.5,"Moderate DTI", "High DTI"))</f>
        <v>Moderate DTI</v>
      </c>
      <c r="M424" t="s">
        <v>43</v>
      </c>
      <c r="N424" s="21">
        <v>14</v>
      </c>
      <c r="O424" t="s">
        <v>21</v>
      </c>
      <c r="P424" t="s">
        <v>53</v>
      </c>
      <c r="Q424" t="s">
        <v>29</v>
      </c>
      <c r="R424" t="s">
        <v>23</v>
      </c>
      <c r="S424" t="s">
        <v>24</v>
      </c>
      <c r="T424" t="s">
        <v>29</v>
      </c>
      <c r="U424" t="s">
        <v>29</v>
      </c>
      <c r="V424" t="s">
        <v>24</v>
      </c>
    </row>
    <row r="425" spans="1:22">
      <c r="A425" t="s">
        <v>461</v>
      </c>
      <c r="B425" s="21">
        <v>50</v>
      </c>
      <c r="C425" s="21">
        <v>71570</v>
      </c>
      <c r="D425" s="21">
        <v>634</v>
      </c>
      <c r="E425" t="str">
        <f>VLOOKUP(Table13[[#This Row],[Credit_Score]],Table4[],2,TRUE)</f>
        <v>Medium Risk</v>
      </c>
      <c r="F425">
        <v>0.54254896769194705</v>
      </c>
      <c r="G425" t="str">
        <f>IF(Table13[[#This Row],[Credit_Utilization]]&lt;0.3,"Low Utilization",
IF(Table13[[#This Row],[Credit_Utilization]]&lt;0.7,"Moderate Utilization",
"High Utilization"))</f>
        <v>Moderate Utilization</v>
      </c>
      <c r="H425" s="21">
        <v>2</v>
      </c>
      <c r="I425" s="21">
        <v>1</v>
      </c>
      <c r="J425" s="21">
        <v>36820</v>
      </c>
      <c r="K425">
        <v>0.26963614630121402</v>
      </c>
      <c r="L425" t="str">
        <f>IF(Table13[[#This Row],[Debt_to_Income_Ratio]]&lt;0.3,"Low DTI", IF(Table13[[#This Row],[Debt_to_Income_Ratio]]&lt;0.5,"Moderate DTI", "High DTI"))</f>
        <v>Low DTI</v>
      </c>
      <c r="M425" t="s">
        <v>43</v>
      </c>
      <c r="N425" s="21">
        <v>9</v>
      </c>
      <c r="O425" t="s">
        <v>45</v>
      </c>
      <c r="P425" t="s">
        <v>28</v>
      </c>
      <c r="Q425" t="s">
        <v>24</v>
      </c>
      <c r="R425" t="s">
        <v>23</v>
      </c>
      <c r="S425" t="s">
        <v>24</v>
      </c>
      <c r="T425" t="s">
        <v>29</v>
      </c>
      <c r="U425" t="s">
        <v>23</v>
      </c>
      <c r="V425" t="s">
        <v>23</v>
      </c>
    </row>
    <row r="426" spans="1:22">
      <c r="A426" t="s">
        <v>462</v>
      </c>
      <c r="B426" s="21">
        <v>69</v>
      </c>
      <c r="C426" s="21">
        <v>104588</v>
      </c>
      <c r="D426" s="21">
        <v>811</v>
      </c>
      <c r="E426" t="str">
        <f>VLOOKUP(Table13[[#This Row],[Credit_Score]],Table4[],2,TRUE)</f>
        <v>Low Risk</v>
      </c>
      <c r="F426">
        <v>0.186865625394356</v>
      </c>
      <c r="G426" t="str">
        <f>IF(Table13[[#This Row],[Credit_Utilization]]&lt;0.3,"Low Utilization",
IF(Table13[[#This Row],[Credit_Utilization]]&lt;0.7,"Moderate Utilization",
"High Utilization"))</f>
        <v>Low Utilization</v>
      </c>
      <c r="H426" s="21">
        <v>0</v>
      </c>
      <c r="I426" s="21">
        <v>0</v>
      </c>
      <c r="J426" s="21">
        <v>65548</v>
      </c>
      <c r="K426">
        <v>0.34331159638731101</v>
      </c>
      <c r="L426" t="str">
        <f>IF(Table13[[#This Row],[Debt_to_Income_Ratio]]&lt;0.3,"Low DTI", IF(Table13[[#This Row],[Debt_to_Income_Ratio]]&lt;0.5,"Moderate DTI", "High DTI"))</f>
        <v>Moderate DTI</v>
      </c>
      <c r="M426" t="s">
        <v>34</v>
      </c>
      <c r="N426" s="21">
        <v>18</v>
      </c>
      <c r="O426" t="s">
        <v>21</v>
      </c>
      <c r="P426" t="s">
        <v>53</v>
      </c>
      <c r="Q426" t="s">
        <v>24</v>
      </c>
      <c r="R426" t="s">
        <v>29</v>
      </c>
      <c r="S426" t="s">
        <v>24</v>
      </c>
      <c r="T426" t="s">
        <v>24</v>
      </c>
      <c r="U426" t="s">
        <v>24</v>
      </c>
      <c r="V426" t="s">
        <v>23</v>
      </c>
    </row>
    <row r="427" spans="1:22">
      <c r="A427" t="s">
        <v>463</v>
      </c>
      <c r="B427" s="21">
        <v>38</v>
      </c>
      <c r="C427" s="21">
        <v>146800</v>
      </c>
      <c r="D427" s="21">
        <v>500</v>
      </c>
      <c r="E427" t="str">
        <f>VLOOKUP(Table13[[#This Row],[Credit_Score]],Table4[],2,TRUE)</f>
        <v>High Risk</v>
      </c>
      <c r="F427">
        <v>0.75955099705193396</v>
      </c>
      <c r="G427" t="str">
        <f>IF(Table13[[#This Row],[Credit_Utilization]]&lt;0.3,"Low Utilization",
IF(Table13[[#This Row],[Credit_Utilization]]&lt;0.7,"Moderate Utilization",
"High Utilization"))</f>
        <v>High Utilization</v>
      </c>
      <c r="H427" s="21">
        <v>3</v>
      </c>
      <c r="I427" s="21">
        <v>0</v>
      </c>
      <c r="J427" s="21">
        <v>29584</v>
      </c>
      <c r="K427">
        <v>0.33884664150482902</v>
      </c>
      <c r="L427" t="str">
        <f>IF(Table13[[#This Row],[Debt_to_Income_Ratio]]&lt;0.3,"Low DTI", IF(Table13[[#This Row],[Debt_to_Income_Ratio]]&lt;0.5,"Moderate DTI", "High DTI"))</f>
        <v>Moderate DTI</v>
      </c>
      <c r="M427" t="s">
        <v>43</v>
      </c>
      <c r="N427" s="21">
        <v>11</v>
      </c>
      <c r="O427" t="s">
        <v>31</v>
      </c>
      <c r="P427" t="s">
        <v>53</v>
      </c>
      <c r="Q427" t="s">
        <v>23</v>
      </c>
      <c r="R427" t="s">
        <v>29</v>
      </c>
      <c r="S427" t="s">
        <v>24</v>
      </c>
      <c r="T427" t="s">
        <v>24</v>
      </c>
      <c r="U427" t="s">
        <v>23</v>
      </c>
      <c r="V427" t="s">
        <v>23</v>
      </c>
    </row>
    <row r="428" spans="1:22">
      <c r="A428" t="s">
        <v>464</v>
      </c>
      <c r="B428" s="21">
        <v>49</v>
      </c>
      <c r="C428" s="21">
        <v>163216</v>
      </c>
      <c r="D428" s="21">
        <v>768</v>
      </c>
      <c r="E428" t="str">
        <f>VLOOKUP(Table13[[#This Row],[Credit_Score]],Table4[],2,TRUE)</f>
        <v>Low Risk</v>
      </c>
      <c r="F428">
        <v>1.0087335790603</v>
      </c>
      <c r="G428" t="str">
        <f>IF(Table13[[#This Row],[Credit_Utilization]]&lt;0.3,"Low Utilization",
IF(Table13[[#This Row],[Credit_Utilization]]&lt;0.7,"Moderate Utilization",
"High Utilization"))</f>
        <v>High Utilization</v>
      </c>
      <c r="H428" s="21">
        <v>6</v>
      </c>
      <c r="I428" s="21">
        <v>0</v>
      </c>
      <c r="J428" s="21">
        <v>60530</v>
      </c>
      <c r="K428">
        <v>0.45293668083481398</v>
      </c>
      <c r="L428" t="str">
        <f>IF(Table13[[#This Row],[Debt_to_Income_Ratio]]&lt;0.3,"Low DTI", IF(Table13[[#This Row],[Debt_to_Income_Ratio]]&lt;0.5,"Moderate DTI", "High DTI"))</f>
        <v>Moderate DTI</v>
      </c>
      <c r="M428" t="s">
        <v>43</v>
      </c>
      <c r="N428" s="21">
        <v>15</v>
      </c>
      <c r="O428" t="s">
        <v>37</v>
      </c>
      <c r="P428" t="s">
        <v>38</v>
      </c>
      <c r="Q428" t="s">
        <v>23</v>
      </c>
      <c r="R428" t="s">
        <v>29</v>
      </c>
      <c r="S428" t="s">
        <v>24</v>
      </c>
      <c r="T428" t="s">
        <v>23</v>
      </c>
      <c r="U428" t="s">
        <v>23</v>
      </c>
      <c r="V428" t="s">
        <v>24</v>
      </c>
    </row>
    <row r="429" spans="1:22">
      <c r="A429" t="s">
        <v>465</v>
      </c>
      <c r="B429" s="21">
        <v>40</v>
      </c>
      <c r="C429" s="21">
        <v>193677</v>
      </c>
      <c r="D429" s="21">
        <v>320</v>
      </c>
      <c r="E429" t="str">
        <f>VLOOKUP(Table13[[#This Row],[Credit_Score]],Table4[],2,TRUE)</f>
        <v>High Risk</v>
      </c>
      <c r="F429">
        <v>0.53656138184106705</v>
      </c>
      <c r="G429" t="str">
        <f>IF(Table13[[#This Row],[Credit_Utilization]]&lt;0.3,"Low Utilization",
IF(Table13[[#This Row],[Credit_Utilization]]&lt;0.7,"Moderate Utilization",
"High Utilization"))</f>
        <v>Moderate Utilization</v>
      </c>
      <c r="H429" s="21">
        <v>4</v>
      </c>
      <c r="I429" s="21">
        <v>0</v>
      </c>
      <c r="J429" s="21">
        <v>36913</v>
      </c>
      <c r="K429">
        <v>0.290471465285499</v>
      </c>
      <c r="L429" t="str">
        <f>IF(Table13[[#This Row],[Debt_to_Income_Ratio]]&lt;0.3,"Low DTI", IF(Table13[[#This Row],[Debt_to_Income_Ratio]]&lt;0.5,"Moderate DTI", "High DTI"))</f>
        <v>Low DTI</v>
      </c>
      <c r="M429" t="s">
        <v>26</v>
      </c>
      <c r="N429" s="21">
        <v>8</v>
      </c>
      <c r="O429" t="s">
        <v>37</v>
      </c>
      <c r="P429" t="s">
        <v>38</v>
      </c>
      <c r="Q429" t="s">
        <v>24</v>
      </c>
      <c r="R429" t="s">
        <v>29</v>
      </c>
      <c r="S429" t="s">
        <v>24</v>
      </c>
      <c r="T429" t="s">
        <v>29</v>
      </c>
      <c r="U429" t="s">
        <v>23</v>
      </c>
      <c r="V429" t="s">
        <v>24</v>
      </c>
    </row>
    <row r="430" spans="1:22">
      <c r="A430" t="s">
        <v>466</v>
      </c>
      <c r="B430" s="21">
        <v>50</v>
      </c>
      <c r="C430" s="21">
        <v>38049</v>
      </c>
      <c r="D430" s="21">
        <v>673</v>
      </c>
      <c r="E430" t="str">
        <f>VLOOKUP(Table13[[#This Row],[Credit_Score]],Table4[],2,TRUE)</f>
        <v>Medium Risk</v>
      </c>
      <c r="F430">
        <v>0.48117947030809599</v>
      </c>
      <c r="G430" t="str">
        <f>IF(Table13[[#This Row],[Credit_Utilization]]&lt;0.3,"Low Utilization",
IF(Table13[[#This Row],[Credit_Utilization]]&lt;0.7,"Moderate Utilization",
"High Utilization"))</f>
        <v>Moderate Utilization</v>
      </c>
      <c r="H430" s="21">
        <v>2</v>
      </c>
      <c r="I430" s="21">
        <v>0</v>
      </c>
      <c r="J430" s="21">
        <v>62342</v>
      </c>
      <c r="K430">
        <v>0.41945634311841201</v>
      </c>
      <c r="L430" t="str">
        <f>IF(Table13[[#This Row],[Debt_to_Income_Ratio]]&lt;0.3,"Low DTI", IF(Table13[[#This Row],[Debt_to_Income_Ratio]]&lt;0.5,"Moderate DTI", "High DTI"))</f>
        <v>Moderate DTI</v>
      </c>
      <c r="M430" t="s">
        <v>34</v>
      </c>
      <c r="N430" s="21">
        <v>14</v>
      </c>
      <c r="O430" t="s">
        <v>45</v>
      </c>
      <c r="P430" t="s">
        <v>38</v>
      </c>
      <c r="Q430" t="s">
        <v>29</v>
      </c>
      <c r="R430" t="s">
        <v>24</v>
      </c>
      <c r="S430" t="s">
        <v>29</v>
      </c>
      <c r="T430" t="s">
        <v>23</v>
      </c>
      <c r="U430" t="s">
        <v>23</v>
      </c>
      <c r="V430" t="s">
        <v>29</v>
      </c>
    </row>
    <row r="431" spans="1:22">
      <c r="A431" t="s">
        <v>467</v>
      </c>
      <c r="B431" s="21">
        <v>20</v>
      </c>
      <c r="C431" s="21">
        <v>129821</v>
      </c>
      <c r="D431" s="21">
        <v>536</v>
      </c>
      <c r="E431" t="str">
        <f>VLOOKUP(Table13[[#This Row],[Credit_Score]],Table4[],2,TRUE)</f>
        <v>High Risk</v>
      </c>
      <c r="F431">
        <v>0.43557208496198702</v>
      </c>
      <c r="G431" t="str">
        <f>IF(Table13[[#This Row],[Credit_Utilization]]&lt;0.3,"Low Utilization",
IF(Table13[[#This Row],[Credit_Utilization]]&lt;0.7,"Moderate Utilization",
"High Utilization"))</f>
        <v>Moderate Utilization</v>
      </c>
      <c r="H431" s="21">
        <v>4</v>
      </c>
      <c r="I431" s="21">
        <v>1</v>
      </c>
      <c r="J431" s="21">
        <v>49798</v>
      </c>
      <c r="K431">
        <v>0.392072551289389</v>
      </c>
      <c r="L431" t="str">
        <f>IF(Table13[[#This Row],[Debt_to_Income_Ratio]]&lt;0.3,"Low DTI", IF(Table13[[#This Row],[Debt_to_Income_Ratio]]&lt;0.5,"Moderate DTI", "High DTI"))</f>
        <v>Moderate DTI</v>
      </c>
      <c r="M431" t="s">
        <v>34</v>
      </c>
      <c r="N431" s="21">
        <v>16</v>
      </c>
      <c r="O431" t="s">
        <v>37</v>
      </c>
      <c r="P431" t="s">
        <v>32</v>
      </c>
      <c r="Q431" t="s">
        <v>24</v>
      </c>
      <c r="R431" t="s">
        <v>29</v>
      </c>
      <c r="S431" t="s">
        <v>24</v>
      </c>
      <c r="T431" t="s">
        <v>23</v>
      </c>
      <c r="U431" t="s">
        <v>23</v>
      </c>
      <c r="V431" t="s">
        <v>29</v>
      </c>
    </row>
    <row r="432" spans="1:22">
      <c r="A432" t="s">
        <v>468</v>
      </c>
      <c r="B432" s="21">
        <v>35</v>
      </c>
      <c r="C432" s="21">
        <v>115235</v>
      </c>
      <c r="D432" s="21">
        <v>691</v>
      </c>
      <c r="E432" t="str">
        <f>VLOOKUP(Table13[[#This Row],[Credit_Score]],Table4[],2,TRUE)</f>
        <v>Medium Risk</v>
      </c>
      <c r="F432">
        <v>0.65635986226258203</v>
      </c>
      <c r="G432" t="str">
        <f>IF(Table13[[#This Row],[Credit_Utilization]]&lt;0.3,"Low Utilization",
IF(Table13[[#This Row],[Credit_Utilization]]&lt;0.7,"Moderate Utilization",
"High Utilization"))</f>
        <v>Moderate Utilization</v>
      </c>
      <c r="H432" s="21">
        <v>6</v>
      </c>
      <c r="I432" s="21">
        <v>0</v>
      </c>
      <c r="J432" s="21">
        <v>95276</v>
      </c>
      <c r="K432">
        <v>0.52939772832931398</v>
      </c>
      <c r="L432" t="str">
        <f>IF(Table13[[#This Row],[Debt_to_Income_Ratio]]&lt;0.3,"Low DTI", IF(Table13[[#This Row],[Debt_to_Income_Ratio]]&lt;0.5,"Moderate DTI", "High DTI"))</f>
        <v>High DTI</v>
      </c>
      <c r="M432" t="s">
        <v>26</v>
      </c>
      <c r="N432" s="21">
        <v>13</v>
      </c>
      <c r="O432" t="s">
        <v>37</v>
      </c>
      <c r="P432" t="s">
        <v>38</v>
      </c>
      <c r="Q432" t="s">
        <v>24</v>
      </c>
      <c r="R432" t="s">
        <v>29</v>
      </c>
      <c r="S432" t="s">
        <v>23</v>
      </c>
      <c r="T432" t="s">
        <v>29</v>
      </c>
      <c r="U432" t="s">
        <v>23</v>
      </c>
      <c r="V432" t="s">
        <v>24</v>
      </c>
    </row>
    <row r="433" spans="1:22">
      <c r="A433" t="s">
        <v>469</v>
      </c>
      <c r="B433" s="21">
        <v>42</v>
      </c>
      <c r="C433" s="21">
        <v>108610</v>
      </c>
      <c r="D433" s="21">
        <v>467</v>
      </c>
      <c r="E433" t="str">
        <f>VLOOKUP(Table13[[#This Row],[Credit_Score]],Table4[],2,TRUE)</f>
        <v>High Risk</v>
      </c>
      <c r="F433">
        <v>0.61353735018691702</v>
      </c>
      <c r="G433" t="str">
        <f>IF(Table13[[#This Row],[Credit_Utilization]]&lt;0.3,"Low Utilization",
IF(Table13[[#This Row],[Credit_Utilization]]&lt;0.7,"Moderate Utilization",
"High Utilization"))</f>
        <v>Moderate Utilization</v>
      </c>
      <c r="H433" s="21">
        <v>1</v>
      </c>
      <c r="I433" s="21">
        <v>0</v>
      </c>
      <c r="J433" s="21">
        <v>55812</v>
      </c>
      <c r="K433">
        <v>0.287274198009772</v>
      </c>
      <c r="L433" t="str">
        <f>IF(Table13[[#This Row],[Debt_to_Income_Ratio]]&lt;0.3,"Low DTI", IF(Table13[[#This Row],[Debt_to_Income_Ratio]]&lt;0.5,"Moderate DTI", "High DTI"))</f>
        <v>Low DTI</v>
      </c>
      <c r="M433" t="s">
        <v>26</v>
      </c>
      <c r="N433" s="21">
        <v>17</v>
      </c>
      <c r="O433" t="s">
        <v>27</v>
      </c>
      <c r="P433" t="s">
        <v>28</v>
      </c>
      <c r="Q433" t="s">
        <v>29</v>
      </c>
      <c r="R433" t="s">
        <v>23</v>
      </c>
      <c r="S433" t="s">
        <v>24</v>
      </c>
      <c r="T433" t="s">
        <v>29</v>
      </c>
      <c r="U433" t="s">
        <v>23</v>
      </c>
      <c r="V433" t="s">
        <v>24</v>
      </c>
    </row>
    <row r="434" spans="1:22">
      <c r="A434" t="s">
        <v>470</v>
      </c>
      <c r="B434" s="21">
        <v>59</v>
      </c>
      <c r="C434" s="21">
        <v>31364</v>
      </c>
      <c r="D434" s="21">
        <v>739</v>
      </c>
      <c r="E434" t="str">
        <f>VLOOKUP(Table13[[#This Row],[Credit_Score]],Table4[],2,TRUE)</f>
        <v>Medium Risk</v>
      </c>
      <c r="F434">
        <v>0.70069969071057203</v>
      </c>
      <c r="G434" t="str">
        <f>IF(Table13[[#This Row],[Credit_Utilization]]&lt;0.3,"Low Utilization",
IF(Table13[[#This Row],[Credit_Utilization]]&lt;0.7,"Moderate Utilization",
"High Utilization"))</f>
        <v>High Utilization</v>
      </c>
      <c r="H434" s="21">
        <v>2</v>
      </c>
      <c r="I434" s="21">
        <v>0</v>
      </c>
      <c r="J434" s="21">
        <v>24851</v>
      </c>
      <c r="K434">
        <v>0.25796412785470102</v>
      </c>
      <c r="L434" t="str">
        <f>IF(Table13[[#This Row],[Debt_to_Income_Ratio]]&lt;0.3,"Low DTI", IF(Table13[[#This Row],[Debt_to_Income_Ratio]]&lt;0.5,"Moderate DTI", "High DTI"))</f>
        <v>Low DTI</v>
      </c>
      <c r="M434" t="s">
        <v>43</v>
      </c>
      <c r="N434" s="21">
        <v>1</v>
      </c>
      <c r="O434" t="s">
        <v>45</v>
      </c>
      <c r="P434" t="s">
        <v>53</v>
      </c>
      <c r="Q434" t="s">
        <v>29</v>
      </c>
      <c r="R434" t="s">
        <v>23</v>
      </c>
      <c r="S434" t="s">
        <v>29</v>
      </c>
      <c r="T434" t="s">
        <v>24</v>
      </c>
      <c r="U434" t="s">
        <v>29</v>
      </c>
      <c r="V434" t="s">
        <v>24</v>
      </c>
    </row>
    <row r="435" spans="1:22">
      <c r="A435" t="s">
        <v>471</v>
      </c>
      <c r="B435" s="21">
        <v>48</v>
      </c>
      <c r="C435" s="21">
        <v>184160</v>
      </c>
      <c r="D435" s="21">
        <v>572</v>
      </c>
      <c r="E435" t="str">
        <f>VLOOKUP(Table13[[#This Row],[Credit_Score]],Table4[],2,TRUE)</f>
        <v>High Risk</v>
      </c>
      <c r="F435">
        <v>0.37441669548038298</v>
      </c>
      <c r="G435" t="str">
        <f>IF(Table13[[#This Row],[Credit_Utilization]]&lt;0.3,"Low Utilization",
IF(Table13[[#This Row],[Credit_Utilization]]&lt;0.7,"Moderate Utilization",
"High Utilization"))</f>
        <v>Moderate Utilization</v>
      </c>
      <c r="H435" s="21">
        <v>3</v>
      </c>
      <c r="I435" s="21">
        <v>0</v>
      </c>
      <c r="J435" s="21">
        <v>78289</v>
      </c>
      <c r="K435">
        <v>0.42576942222437297</v>
      </c>
      <c r="L435" t="str">
        <f>IF(Table13[[#This Row],[Debt_to_Income_Ratio]]&lt;0.3,"Low DTI", IF(Table13[[#This Row],[Debt_to_Income_Ratio]]&lt;0.5,"Moderate DTI", "High DTI"))</f>
        <v>Moderate DTI</v>
      </c>
      <c r="M435" t="s">
        <v>34</v>
      </c>
      <c r="N435" s="21">
        <v>3</v>
      </c>
      <c r="O435" t="s">
        <v>45</v>
      </c>
      <c r="P435" t="s">
        <v>28</v>
      </c>
      <c r="Q435" t="s">
        <v>23</v>
      </c>
      <c r="R435" t="s">
        <v>23</v>
      </c>
      <c r="S435" t="s">
        <v>23</v>
      </c>
      <c r="T435" t="s">
        <v>23</v>
      </c>
      <c r="U435" t="s">
        <v>24</v>
      </c>
      <c r="V435" t="s">
        <v>23</v>
      </c>
    </row>
    <row r="436" spans="1:22">
      <c r="A436" t="s">
        <v>472</v>
      </c>
      <c r="B436" s="21">
        <v>71</v>
      </c>
      <c r="C436" s="21">
        <v>59238</v>
      </c>
      <c r="D436" s="21">
        <v>401</v>
      </c>
      <c r="E436" t="str">
        <f>VLOOKUP(Table13[[#This Row],[Credit_Score]],Table4[],2,TRUE)</f>
        <v>High Risk</v>
      </c>
      <c r="F436">
        <v>0.56802354128092902</v>
      </c>
      <c r="G436" t="str">
        <f>IF(Table13[[#This Row],[Credit_Utilization]]&lt;0.3,"Low Utilization",
IF(Table13[[#This Row],[Credit_Utilization]]&lt;0.7,"Moderate Utilization",
"High Utilization"))</f>
        <v>Moderate Utilization</v>
      </c>
      <c r="H436" s="21">
        <v>2</v>
      </c>
      <c r="I436" s="21">
        <v>0</v>
      </c>
      <c r="J436" s="21">
        <v>20052</v>
      </c>
      <c r="K436">
        <v>0.33854325717412598</v>
      </c>
      <c r="L436" t="str">
        <f>IF(Table13[[#This Row],[Debt_to_Income_Ratio]]&lt;0.3,"Low DTI", IF(Table13[[#This Row],[Debt_to_Income_Ratio]]&lt;0.5,"Moderate DTI", "High DTI"))</f>
        <v>Moderate DTI</v>
      </c>
      <c r="M436" t="s">
        <v>50</v>
      </c>
      <c r="N436" s="21">
        <v>17</v>
      </c>
      <c r="O436" t="s">
        <v>37</v>
      </c>
      <c r="P436" t="s">
        <v>38</v>
      </c>
      <c r="Q436" t="s">
        <v>24</v>
      </c>
      <c r="R436" t="s">
        <v>29</v>
      </c>
      <c r="S436" t="s">
        <v>24</v>
      </c>
      <c r="T436" t="s">
        <v>24</v>
      </c>
      <c r="U436" t="s">
        <v>24</v>
      </c>
      <c r="V436" t="s">
        <v>29</v>
      </c>
    </row>
    <row r="437" spans="1:22">
      <c r="A437" t="s">
        <v>473</v>
      </c>
      <c r="B437" s="21">
        <v>20</v>
      </c>
      <c r="C437" s="21">
        <v>68682</v>
      </c>
      <c r="D437" s="21">
        <v>339</v>
      </c>
      <c r="E437" t="str">
        <f>VLOOKUP(Table13[[#This Row],[Credit_Score]],Table4[],2,TRUE)</f>
        <v>High Risk</v>
      </c>
      <c r="F437">
        <v>0.39150638665875998</v>
      </c>
      <c r="G437" t="str">
        <f>IF(Table13[[#This Row],[Credit_Utilization]]&lt;0.3,"Low Utilization",
IF(Table13[[#This Row],[Credit_Utilization]]&lt;0.7,"Moderate Utilization",
"High Utilization"))</f>
        <v>Moderate Utilization</v>
      </c>
      <c r="H437" s="21">
        <v>4</v>
      </c>
      <c r="I437" s="21">
        <v>0</v>
      </c>
      <c r="J437" s="21">
        <v>88778</v>
      </c>
      <c r="K437">
        <v>0.42816592167838902</v>
      </c>
      <c r="L437" t="str">
        <f>IF(Table13[[#This Row],[Debt_to_Income_Ratio]]&lt;0.3,"Low DTI", IF(Table13[[#This Row],[Debt_to_Income_Ratio]]&lt;0.5,"Moderate DTI", "High DTI"))</f>
        <v>Moderate DTI</v>
      </c>
      <c r="M437" t="s">
        <v>34</v>
      </c>
      <c r="N437" s="21">
        <v>6</v>
      </c>
      <c r="O437" t="s">
        <v>37</v>
      </c>
      <c r="P437" t="s">
        <v>32</v>
      </c>
      <c r="Q437" t="s">
        <v>23</v>
      </c>
      <c r="R437" t="s">
        <v>24</v>
      </c>
      <c r="S437" t="s">
        <v>23</v>
      </c>
      <c r="T437" t="s">
        <v>29</v>
      </c>
      <c r="U437" t="s">
        <v>29</v>
      </c>
      <c r="V437" t="s">
        <v>23</v>
      </c>
    </row>
    <row r="438" spans="1:22">
      <c r="A438" t="s">
        <v>474</v>
      </c>
      <c r="B438" s="21">
        <v>57</v>
      </c>
      <c r="C438" s="21">
        <v>28807</v>
      </c>
      <c r="D438" s="21">
        <v>794</v>
      </c>
      <c r="E438" t="str">
        <f>VLOOKUP(Table13[[#This Row],[Credit_Score]],Table4[],2,TRUE)</f>
        <v>Low Risk</v>
      </c>
      <c r="F438">
        <v>0.28845687038598899</v>
      </c>
      <c r="G438" t="str">
        <f>IF(Table13[[#This Row],[Credit_Utilization]]&lt;0.3,"Low Utilization",
IF(Table13[[#This Row],[Credit_Utilization]]&lt;0.7,"Moderate Utilization",
"High Utilization"))</f>
        <v>Low Utilization</v>
      </c>
      <c r="H438" s="21">
        <v>0</v>
      </c>
      <c r="I438" s="21">
        <v>0</v>
      </c>
      <c r="J438" s="21">
        <v>95136</v>
      </c>
      <c r="K438">
        <v>0.37167987979895001</v>
      </c>
      <c r="L438" t="str">
        <f>IF(Table13[[#This Row],[Debt_to_Income_Ratio]]&lt;0.3,"Low DTI", IF(Table13[[#This Row],[Debt_to_Income_Ratio]]&lt;0.5,"Moderate DTI", "High DTI"))</f>
        <v>Moderate DTI</v>
      </c>
      <c r="M438" t="s">
        <v>43</v>
      </c>
      <c r="N438" s="21">
        <v>12</v>
      </c>
      <c r="O438" t="s">
        <v>37</v>
      </c>
      <c r="P438" t="s">
        <v>32</v>
      </c>
      <c r="Q438" t="s">
        <v>24</v>
      </c>
      <c r="R438" t="s">
        <v>23</v>
      </c>
      <c r="S438" t="s">
        <v>29</v>
      </c>
      <c r="T438" t="s">
        <v>24</v>
      </c>
      <c r="U438" t="s">
        <v>23</v>
      </c>
      <c r="V438" t="s">
        <v>24</v>
      </c>
    </row>
    <row r="439" spans="1:22">
      <c r="A439" t="s">
        <v>475</v>
      </c>
      <c r="B439" s="21">
        <v>63</v>
      </c>
      <c r="C439" s="21">
        <v>107658</v>
      </c>
      <c r="D439" s="21">
        <v>799</v>
      </c>
      <c r="E439" t="str">
        <f>VLOOKUP(Table13[[#This Row],[Credit_Score]],Table4[],2,TRUE)</f>
        <v>Low Risk</v>
      </c>
      <c r="F439">
        <v>0.49179691579930701</v>
      </c>
      <c r="G439" t="str">
        <f>IF(Table13[[#This Row],[Credit_Utilization]]&lt;0.3,"Low Utilization",
IF(Table13[[#This Row],[Credit_Utilization]]&lt;0.7,"Moderate Utilization",
"High Utilization"))</f>
        <v>Moderate Utilization</v>
      </c>
      <c r="H439" s="21">
        <v>2</v>
      </c>
      <c r="I439" s="21">
        <v>0</v>
      </c>
      <c r="J439" s="21">
        <v>41743</v>
      </c>
      <c r="K439">
        <v>0.1</v>
      </c>
      <c r="L439" t="str">
        <f>IF(Table13[[#This Row],[Debt_to_Income_Ratio]]&lt;0.3,"Low DTI", IF(Table13[[#This Row],[Debt_to_Income_Ratio]]&lt;0.5,"Moderate DTI", "High DTI"))</f>
        <v>Low DTI</v>
      </c>
      <c r="M439" t="s">
        <v>43</v>
      </c>
      <c r="N439" s="21">
        <v>14</v>
      </c>
      <c r="O439" t="s">
        <v>31</v>
      </c>
      <c r="P439" t="s">
        <v>53</v>
      </c>
      <c r="Q439" t="s">
        <v>24</v>
      </c>
      <c r="R439" t="s">
        <v>29</v>
      </c>
      <c r="S439" t="s">
        <v>23</v>
      </c>
      <c r="T439" t="s">
        <v>29</v>
      </c>
      <c r="U439" t="s">
        <v>23</v>
      </c>
      <c r="V439" t="s">
        <v>29</v>
      </c>
    </row>
    <row r="440" spans="1:22">
      <c r="A440" t="s">
        <v>476</v>
      </c>
      <c r="B440" s="21">
        <v>41</v>
      </c>
      <c r="C440" s="21">
        <v>20569</v>
      </c>
      <c r="D440" s="21">
        <v>427</v>
      </c>
      <c r="E440" t="str">
        <f>VLOOKUP(Table13[[#This Row],[Credit_Score]],Table4[],2,TRUE)</f>
        <v>High Risk</v>
      </c>
      <c r="F440">
        <v>0.315497453924583</v>
      </c>
      <c r="G440" t="str">
        <f>IF(Table13[[#This Row],[Credit_Utilization]]&lt;0.3,"Low Utilization",
IF(Table13[[#This Row],[Credit_Utilization]]&lt;0.7,"Moderate Utilization",
"High Utilization"))</f>
        <v>Moderate Utilization</v>
      </c>
      <c r="H440" s="21">
        <v>3</v>
      </c>
      <c r="I440" s="21">
        <v>0</v>
      </c>
      <c r="J440" s="21">
        <v>87110</v>
      </c>
      <c r="K440">
        <v>0.33763217770311799</v>
      </c>
      <c r="L440" t="str">
        <f>IF(Table13[[#This Row],[Debt_to_Income_Ratio]]&lt;0.3,"Low DTI", IF(Table13[[#This Row],[Debt_to_Income_Ratio]]&lt;0.5,"Moderate DTI", "High DTI"))</f>
        <v>Moderate DTI</v>
      </c>
      <c r="M440" t="s">
        <v>43</v>
      </c>
      <c r="N440" s="21">
        <v>0</v>
      </c>
      <c r="O440" t="s">
        <v>21</v>
      </c>
      <c r="P440" t="s">
        <v>28</v>
      </c>
      <c r="Q440" t="s">
        <v>23</v>
      </c>
      <c r="R440" t="s">
        <v>29</v>
      </c>
      <c r="S440" t="s">
        <v>29</v>
      </c>
      <c r="T440" t="s">
        <v>23</v>
      </c>
      <c r="U440" t="s">
        <v>29</v>
      </c>
      <c r="V440" t="s">
        <v>29</v>
      </c>
    </row>
    <row r="441" spans="1:22">
      <c r="A441" t="s">
        <v>477</v>
      </c>
      <c r="B441" s="21">
        <v>67</v>
      </c>
      <c r="C441" s="21">
        <v>25916</v>
      </c>
      <c r="D441" s="21">
        <v>762</v>
      </c>
      <c r="E441" t="str">
        <f>VLOOKUP(Table13[[#This Row],[Credit_Score]],Table4[],2,TRUE)</f>
        <v>Low Risk</v>
      </c>
      <c r="F441">
        <v>0.73474539954851703</v>
      </c>
      <c r="G441" t="str">
        <f>IF(Table13[[#This Row],[Credit_Utilization]]&lt;0.3,"Low Utilization",
IF(Table13[[#This Row],[Credit_Utilization]]&lt;0.7,"Moderate Utilization",
"High Utilization"))</f>
        <v>High Utilization</v>
      </c>
      <c r="H441" s="21">
        <v>1</v>
      </c>
      <c r="I441" s="21">
        <v>0</v>
      </c>
      <c r="J441" s="21">
        <v>45776</v>
      </c>
      <c r="K441">
        <v>0.331121589795148</v>
      </c>
      <c r="L441" t="str">
        <f>IF(Table13[[#This Row],[Debt_to_Income_Ratio]]&lt;0.3,"Low DTI", IF(Table13[[#This Row],[Debt_to_Income_Ratio]]&lt;0.5,"Moderate DTI", "High DTI"))</f>
        <v>Moderate DTI</v>
      </c>
      <c r="M441" t="s">
        <v>43</v>
      </c>
      <c r="N441" s="21">
        <v>10</v>
      </c>
      <c r="O441" t="s">
        <v>31</v>
      </c>
      <c r="P441" t="s">
        <v>22</v>
      </c>
      <c r="Q441" t="s">
        <v>24</v>
      </c>
      <c r="R441" t="s">
        <v>24</v>
      </c>
      <c r="S441" t="s">
        <v>23</v>
      </c>
      <c r="T441" t="s">
        <v>29</v>
      </c>
      <c r="U441" t="s">
        <v>24</v>
      </c>
      <c r="V441" t="s">
        <v>23</v>
      </c>
    </row>
    <row r="442" spans="1:22">
      <c r="A442" t="s">
        <v>478</v>
      </c>
      <c r="B442" s="21">
        <v>49</v>
      </c>
      <c r="C442" s="21">
        <v>127566</v>
      </c>
      <c r="D442" s="21">
        <v>328</v>
      </c>
      <c r="E442" t="str">
        <f>VLOOKUP(Table13[[#This Row],[Credit_Score]],Table4[],2,TRUE)</f>
        <v>High Risk</v>
      </c>
      <c r="F442">
        <v>0.32761592439683501</v>
      </c>
      <c r="G442" t="str">
        <f>IF(Table13[[#This Row],[Credit_Utilization]]&lt;0.3,"Low Utilization",
IF(Table13[[#This Row],[Credit_Utilization]]&lt;0.7,"Moderate Utilization",
"High Utilization"))</f>
        <v>Moderate Utilization</v>
      </c>
      <c r="H442" s="21">
        <v>5</v>
      </c>
      <c r="I442" s="21">
        <v>0</v>
      </c>
      <c r="J442" s="21">
        <v>82438</v>
      </c>
      <c r="K442">
        <v>0.31331069024639602</v>
      </c>
      <c r="L442" t="str">
        <f>IF(Table13[[#This Row],[Debt_to_Income_Ratio]]&lt;0.3,"Low DTI", IF(Table13[[#This Row],[Debt_to_Income_Ratio]]&lt;0.5,"Moderate DTI", "High DTI"))</f>
        <v>Moderate DTI</v>
      </c>
      <c r="M442" t="s">
        <v>43</v>
      </c>
      <c r="N442" s="21">
        <v>9</v>
      </c>
      <c r="O442" t="s">
        <v>45</v>
      </c>
      <c r="P442" t="s">
        <v>28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</row>
    <row r="443" spans="1:22">
      <c r="A443" t="s">
        <v>479</v>
      </c>
      <c r="B443" s="21">
        <v>64</v>
      </c>
      <c r="C443" s="21">
        <v>33888</v>
      </c>
      <c r="D443" s="21">
        <v>398</v>
      </c>
      <c r="E443" t="str">
        <f>VLOOKUP(Table13[[#This Row],[Credit_Score]],Table4[],2,TRUE)</f>
        <v>High Risk</v>
      </c>
      <c r="F443">
        <v>0.57270918813747196</v>
      </c>
      <c r="G443" t="str">
        <f>IF(Table13[[#This Row],[Credit_Utilization]]&lt;0.3,"Low Utilization",
IF(Table13[[#This Row],[Credit_Utilization]]&lt;0.7,"Moderate Utilization",
"High Utilization"))</f>
        <v>Moderate Utilization</v>
      </c>
      <c r="H443" s="21">
        <v>0</v>
      </c>
      <c r="I443" s="21">
        <v>0</v>
      </c>
      <c r="J443" s="21">
        <v>1806</v>
      </c>
      <c r="K443">
        <v>0.286775694587661</v>
      </c>
      <c r="L443" t="str">
        <f>IF(Table13[[#This Row],[Debt_to_Income_Ratio]]&lt;0.3,"Low DTI", IF(Table13[[#This Row],[Debt_to_Income_Ratio]]&lt;0.5,"Moderate DTI", "High DTI"))</f>
        <v>Low DTI</v>
      </c>
      <c r="M443" t="s">
        <v>26</v>
      </c>
      <c r="N443" s="21">
        <v>4</v>
      </c>
      <c r="O443" t="s">
        <v>27</v>
      </c>
      <c r="P443" t="s">
        <v>38</v>
      </c>
      <c r="Q443" t="s">
        <v>24</v>
      </c>
      <c r="R443" t="s">
        <v>23</v>
      </c>
      <c r="S443" t="s">
        <v>23</v>
      </c>
      <c r="T443" t="s">
        <v>29</v>
      </c>
      <c r="U443" t="s">
        <v>29</v>
      </c>
      <c r="V443" t="s">
        <v>24</v>
      </c>
    </row>
    <row r="444" spans="1:22">
      <c r="A444" t="s">
        <v>480</v>
      </c>
      <c r="B444" s="21">
        <v>39</v>
      </c>
      <c r="C444" s="21">
        <v>152162</v>
      </c>
      <c r="D444" s="21">
        <v>446</v>
      </c>
      <c r="E444" t="str">
        <f>VLOOKUP(Table13[[#This Row],[Credit_Score]],Table4[],2,TRUE)</f>
        <v>High Risk</v>
      </c>
      <c r="F444">
        <v>0.37931554024805503</v>
      </c>
      <c r="G444" t="str">
        <f>IF(Table13[[#This Row],[Credit_Utilization]]&lt;0.3,"Low Utilization",
IF(Table13[[#This Row],[Credit_Utilization]]&lt;0.7,"Moderate Utilization",
"High Utilization"))</f>
        <v>Moderate Utilization</v>
      </c>
      <c r="H444" s="21">
        <v>1</v>
      </c>
      <c r="I444" s="21">
        <v>0</v>
      </c>
      <c r="J444" s="21">
        <v>4106</v>
      </c>
      <c r="K444">
        <v>0.140785647220567</v>
      </c>
      <c r="L444" t="str">
        <f>IF(Table13[[#This Row],[Debt_to_Income_Ratio]]&lt;0.3,"Low DTI", IF(Table13[[#This Row],[Debt_to_Income_Ratio]]&lt;0.5,"Moderate DTI", "High DTI"))</f>
        <v>Low DTI</v>
      </c>
      <c r="M444" t="s">
        <v>43</v>
      </c>
      <c r="N444" s="21">
        <v>15</v>
      </c>
      <c r="O444" t="s">
        <v>21</v>
      </c>
      <c r="P444" t="s">
        <v>22</v>
      </c>
      <c r="Q444" t="s">
        <v>29</v>
      </c>
      <c r="R444" t="s">
        <v>23</v>
      </c>
      <c r="S444" t="s">
        <v>29</v>
      </c>
      <c r="T444" t="s">
        <v>29</v>
      </c>
      <c r="U444" t="s">
        <v>29</v>
      </c>
      <c r="V444" t="s">
        <v>29</v>
      </c>
    </row>
    <row r="445" spans="1:22">
      <c r="A445" t="s">
        <v>481</v>
      </c>
      <c r="B445" s="21">
        <v>40</v>
      </c>
      <c r="C445" s="21">
        <v>170026</v>
      </c>
      <c r="D445" s="21">
        <v>788</v>
      </c>
      <c r="E445" t="str">
        <f>VLOOKUP(Table13[[#This Row],[Credit_Score]],Table4[],2,TRUE)</f>
        <v>Low Risk</v>
      </c>
      <c r="F445">
        <v>0.55541255008750201</v>
      </c>
      <c r="G445" t="str">
        <f>IF(Table13[[#This Row],[Credit_Utilization]]&lt;0.3,"Low Utilization",
IF(Table13[[#This Row],[Credit_Utilization]]&lt;0.7,"Moderate Utilization",
"High Utilization"))</f>
        <v>Moderate Utilization</v>
      </c>
      <c r="H445" s="21">
        <v>2</v>
      </c>
      <c r="I445" s="21">
        <v>0</v>
      </c>
      <c r="J445" s="21">
        <v>95376</v>
      </c>
      <c r="K445">
        <v>0.387417691723832</v>
      </c>
      <c r="L445" t="str">
        <f>IF(Table13[[#This Row],[Debt_to_Income_Ratio]]&lt;0.3,"Low DTI", IF(Table13[[#This Row],[Debt_to_Income_Ratio]]&lt;0.5,"Moderate DTI", "High DTI"))</f>
        <v>Moderate DTI</v>
      </c>
      <c r="M445" t="s">
        <v>43</v>
      </c>
      <c r="N445" s="21">
        <v>10</v>
      </c>
      <c r="O445" t="s">
        <v>27</v>
      </c>
      <c r="P445" t="s">
        <v>32</v>
      </c>
      <c r="Q445" t="s">
        <v>29</v>
      </c>
      <c r="R445" t="s">
        <v>24</v>
      </c>
      <c r="S445" t="s">
        <v>29</v>
      </c>
      <c r="T445" t="s">
        <v>23</v>
      </c>
      <c r="U445" t="s">
        <v>29</v>
      </c>
      <c r="V445" t="s">
        <v>29</v>
      </c>
    </row>
    <row r="446" spans="1:22">
      <c r="A446" t="s">
        <v>482</v>
      </c>
      <c r="B446" s="21">
        <v>19</v>
      </c>
      <c r="C446" s="21">
        <v>51187</v>
      </c>
      <c r="D446" s="21">
        <v>549</v>
      </c>
      <c r="E446" t="str">
        <f>VLOOKUP(Table13[[#This Row],[Credit_Score]],Table4[],2,TRUE)</f>
        <v>High Risk</v>
      </c>
      <c r="F446">
        <v>0.39520068530892799</v>
      </c>
      <c r="G446" t="str">
        <f>IF(Table13[[#This Row],[Credit_Utilization]]&lt;0.3,"Low Utilization",
IF(Table13[[#This Row],[Credit_Utilization]]&lt;0.7,"Moderate Utilization",
"High Utilization"))</f>
        <v>Moderate Utilization</v>
      </c>
      <c r="H446" s="21">
        <v>4</v>
      </c>
      <c r="I446" s="21">
        <v>0</v>
      </c>
      <c r="J446" s="21">
        <v>65387</v>
      </c>
      <c r="K446">
        <v>0.33737684280934899</v>
      </c>
      <c r="L446" t="str">
        <f>IF(Table13[[#This Row],[Debt_to_Income_Ratio]]&lt;0.3,"Low DTI", IF(Table13[[#This Row],[Debt_to_Income_Ratio]]&lt;0.5,"Moderate DTI", "High DTI"))</f>
        <v>Moderate DTI</v>
      </c>
      <c r="M446" t="s">
        <v>43</v>
      </c>
      <c r="N446" s="21">
        <v>5</v>
      </c>
      <c r="O446" t="s">
        <v>45</v>
      </c>
      <c r="P446" t="s">
        <v>53</v>
      </c>
      <c r="Q446" t="s">
        <v>24</v>
      </c>
      <c r="R446" t="s">
        <v>23</v>
      </c>
      <c r="S446" t="s">
        <v>23</v>
      </c>
      <c r="T446" t="s">
        <v>29</v>
      </c>
      <c r="U446" t="s">
        <v>24</v>
      </c>
      <c r="V446" t="s">
        <v>24</v>
      </c>
    </row>
    <row r="447" spans="1:22">
      <c r="A447" t="s">
        <v>483</v>
      </c>
      <c r="B447" s="21">
        <v>44</v>
      </c>
      <c r="C447" s="21">
        <v>108396</v>
      </c>
      <c r="D447" s="21">
        <v>378</v>
      </c>
      <c r="E447" t="str">
        <f>VLOOKUP(Table13[[#This Row],[Credit_Score]],Table4[],2,TRUE)</f>
        <v>High Risk</v>
      </c>
      <c r="F447">
        <v>0.24855774502849201</v>
      </c>
      <c r="G447" t="str">
        <f>IF(Table13[[#This Row],[Credit_Utilization]]&lt;0.3,"Low Utilization",
IF(Table13[[#This Row],[Credit_Utilization]]&lt;0.7,"Moderate Utilization",
"High Utilization"))</f>
        <v>Low Utilization</v>
      </c>
      <c r="H447" s="21">
        <v>6</v>
      </c>
      <c r="I447" s="21">
        <v>1</v>
      </c>
      <c r="J447" s="21">
        <v>85678</v>
      </c>
      <c r="K447">
        <v>0.41019566973974197</v>
      </c>
      <c r="L447" t="str">
        <f>IF(Table13[[#This Row],[Debt_to_Income_Ratio]]&lt;0.3,"Low DTI", IF(Table13[[#This Row],[Debt_to_Income_Ratio]]&lt;0.5,"Moderate DTI", "High DTI"))</f>
        <v>Moderate DTI</v>
      </c>
      <c r="M447" t="s">
        <v>43</v>
      </c>
      <c r="N447" s="21">
        <v>8</v>
      </c>
      <c r="O447" t="s">
        <v>45</v>
      </c>
      <c r="P447" t="s">
        <v>53</v>
      </c>
      <c r="Q447" t="s">
        <v>29</v>
      </c>
      <c r="R447" t="s">
        <v>23</v>
      </c>
      <c r="S447" t="s">
        <v>29</v>
      </c>
      <c r="T447" t="s">
        <v>23</v>
      </c>
      <c r="U447" t="s">
        <v>24</v>
      </c>
      <c r="V447" t="s">
        <v>29</v>
      </c>
    </row>
    <row r="448" spans="1:22">
      <c r="A448" t="s">
        <v>484</v>
      </c>
      <c r="B448" s="21">
        <v>59</v>
      </c>
      <c r="C448" s="21">
        <v>16062</v>
      </c>
      <c r="D448" s="21">
        <v>690</v>
      </c>
      <c r="E448" t="str">
        <f>VLOOKUP(Table13[[#This Row],[Credit_Score]],Table4[],2,TRUE)</f>
        <v>Medium Risk</v>
      </c>
      <c r="F448">
        <v>0.59675454819036899</v>
      </c>
      <c r="G448" t="str">
        <f>IF(Table13[[#This Row],[Credit_Utilization]]&lt;0.3,"Low Utilization",
IF(Table13[[#This Row],[Credit_Utilization]]&lt;0.7,"Moderate Utilization",
"High Utilization"))</f>
        <v>Moderate Utilization</v>
      </c>
      <c r="H448" s="21">
        <v>4</v>
      </c>
      <c r="I448" s="21">
        <v>0</v>
      </c>
      <c r="J448" s="21">
        <v>73117</v>
      </c>
      <c r="K448">
        <v>0.146124447572474</v>
      </c>
      <c r="L448" t="str">
        <f>IF(Table13[[#This Row],[Debt_to_Income_Ratio]]&lt;0.3,"Low DTI", IF(Table13[[#This Row],[Debt_to_Income_Ratio]]&lt;0.5,"Moderate DTI", "High DTI"))</f>
        <v>Low DTI</v>
      </c>
      <c r="M448" t="s">
        <v>43</v>
      </c>
      <c r="N448" s="21">
        <v>12</v>
      </c>
      <c r="O448" t="s">
        <v>27</v>
      </c>
      <c r="P448" t="s">
        <v>32</v>
      </c>
      <c r="Q448" t="s">
        <v>24</v>
      </c>
      <c r="R448" t="s">
        <v>29</v>
      </c>
      <c r="S448" t="s">
        <v>29</v>
      </c>
      <c r="T448" t="s">
        <v>24</v>
      </c>
      <c r="U448" t="s">
        <v>24</v>
      </c>
      <c r="V448" t="s">
        <v>29</v>
      </c>
    </row>
    <row r="449" spans="1:22">
      <c r="A449" t="s">
        <v>485</v>
      </c>
      <c r="B449" s="21">
        <v>19</v>
      </c>
      <c r="C449" s="21">
        <v>167617</v>
      </c>
      <c r="D449" s="21">
        <v>700</v>
      </c>
      <c r="E449" t="str">
        <f>VLOOKUP(Table13[[#This Row],[Credit_Score]],Table4[],2,TRUE)</f>
        <v>Medium Risk</v>
      </c>
      <c r="F449">
        <v>0.452916875617355</v>
      </c>
      <c r="G449" t="str">
        <f>IF(Table13[[#This Row],[Credit_Utilization]]&lt;0.3,"Low Utilization",
IF(Table13[[#This Row],[Credit_Utilization]]&lt;0.7,"Moderate Utilization",
"High Utilization"))</f>
        <v>Moderate Utilization</v>
      </c>
      <c r="H449" s="21">
        <v>3</v>
      </c>
      <c r="I449" s="21">
        <v>0</v>
      </c>
      <c r="J449" s="21">
        <v>52256</v>
      </c>
      <c r="K449">
        <v>0.350713448954526</v>
      </c>
      <c r="L449" t="str">
        <f>IF(Table13[[#This Row],[Debt_to_Income_Ratio]]&lt;0.3,"Low DTI", IF(Table13[[#This Row],[Debt_to_Income_Ratio]]&lt;0.5,"Moderate DTI", "High DTI"))</f>
        <v>Moderate DTI</v>
      </c>
      <c r="M449" t="s">
        <v>50</v>
      </c>
      <c r="N449" s="21">
        <v>7</v>
      </c>
      <c r="O449" t="s">
        <v>27</v>
      </c>
      <c r="P449" t="s">
        <v>38</v>
      </c>
      <c r="Q449" t="s">
        <v>24</v>
      </c>
      <c r="R449" t="s">
        <v>24</v>
      </c>
      <c r="S449" t="s">
        <v>23</v>
      </c>
      <c r="T449" t="s">
        <v>29</v>
      </c>
      <c r="U449" t="s">
        <v>24</v>
      </c>
      <c r="V449" t="s">
        <v>24</v>
      </c>
    </row>
    <row r="450" spans="1:22">
      <c r="A450" t="s">
        <v>486</v>
      </c>
      <c r="B450" s="21">
        <v>43</v>
      </c>
      <c r="C450" s="21">
        <v>187627</v>
      </c>
      <c r="D450" s="21">
        <v>584</v>
      </c>
      <c r="E450" t="str">
        <f>VLOOKUP(Table13[[#This Row],[Credit_Score]],Table4[],2,TRUE)</f>
        <v>High Risk</v>
      </c>
      <c r="F450">
        <v>0.55719698814449103</v>
      </c>
      <c r="G450" t="str">
        <f>IF(Table13[[#This Row],[Credit_Utilization]]&lt;0.3,"Low Utilization",
IF(Table13[[#This Row],[Credit_Utilization]]&lt;0.7,"Moderate Utilization",
"High Utilization"))</f>
        <v>Moderate Utilization</v>
      </c>
      <c r="H450" s="21">
        <v>4</v>
      </c>
      <c r="I450" s="21">
        <v>0</v>
      </c>
      <c r="J450" s="21">
        <v>10778</v>
      </c>
      <c r="K450">
        <v>0.27653406624534299</v>
      </c>
      <c r="L450" t="str">
        <f>IF(Table13[[#This Row],[Debt_to_Income_Ratio]]&lt;0.3,"Low DTI", IF(Table13[[#This Row],[Debt_to_Income_Ratio]]&lt;0.5,"Moderate DTI", "High DTI"))</f>
        <v>Low DTI</v>
      </c>
      <c r="M450" t="s">
        <v>43</v>
      </c>
      <c r="N450" s="21">
        <v>13</v>
      </c>
      <c r="O450" t="s">
        <v>27</v>
      </c>
      <c r="P450" t="s">
        <v>32</v>
      </c>
      <c r="Q450" t="s">
        <v>29</v>
      </c>
      <c r="R450" t="s">
        <v>29</v>
      </c>
      <c r="S450" t="s">
        <v>24</v>
      </c>
      <c r="T450" t="s">
        <v>24</v>
      </c>
      <c r="U450" t="s">
        <v>24</v>
      </c>
      <c r="V450" t="s">
        <v>29</v>
      </c>
    </row>
    <row r="451" spans="1:22">
      <c r="A451" t="s">
        <v>487</v>
      </c>
      <c r="B451" s="21">
        <v>34</v>
      </c>
      <c r="C451" s="21">
        <v>115235</v>
      </c>
      <c r="D451" s="21">
        <v>781</v>
      </c>
      <c r="E451" t="str">
        <f>VLOOKUP(Table13[[#This Row],[Credit_Score]],Table4[],2,TRUE)</f>
        <v>Low Risk</v>
      </c>
      <c r="F451">
        <v>0.41423141287391202</v>
      </c>
      <c r="G451" t="str">
        <f>IF(Table13[[#This Row],[Credit_Utilization]]&lt;0.3,"Low Utilization",
IF(Table13[[#This Row],[Credit_Utilization]]&lt;0.7,"Moderate Utilization",
"High Utilization"))</f>
        <v>Moderate Utilization</v>
      </c>
      <c r="H451" s="21">
        <v>0</v>
      </c>
      <c r="I451" s="21">
        <v>0</v>
      </c>
      <c r="J451" s="21">
        <v>62010</v>
      </c>
      <c r="K451">
        <v>0.314378800992552</v>
      </c>
      <c r="L451" t="str">
        <f>IF(Table13[[#This Row],[Debt_to_Income_Ratio]]&lt;0.3,"Low DTI", IF(Table13[[#This Row],[Debt_to_Income_Ratio]]&lt;0.5,"Moderate DTI", "High DTI"))</f>
        <v>Moderate DTI</v>
      </c>
      <c r="M451" t="s">
        <v>43</v>
      </c>
      <c r="N451" s="21">
        <v>0</v>
      </c>
      <c r="O451" t="s">
        <v>45</v>
      </c>
      <c r="P451" t="s">
        <v>38</v>
      </c>
      <c r="Q451" t="s">
        <v>24</v>
      </c>
      <c r="R451" t="s">
        <v>23</v>
      </c>
      <c r="S451" t="s">
        <v>29</v>
      </c>
      <c r="T451" t="s">
        <v>29</v>
      </c>
      <c r="U451" t="s">
        <v>23</v>
      </c>
      <c r="V451" t="s">
        <v>24</v>
      </c>
    </row>
    <row r="452" spans="1:22">
      <c r="A452" t="s">
        <v>488</v>
      </c>
      <c r="B452" s="21">
        <v>57</v>
      </c>
      <c r="C452" s="21">
        <v>107658</v>
      </c>
      <c r="D452" s="21">
        <v>528</v>
      </c>
      <c r="E452" t="str">
        <f>VLOOKUP(Table13[[#This Row],[Credit_Score]],Table4[],2,TRUE)</f>
        <v>High Risk</v>
      </c>
      <c r="F452">
        <v>0.234412697246309</v>
      </c>
      <c r="G452" t="str">
        <f>IF(Table13[[#This Row],[Credit_Utilization]]&lt;0.3,"Low Utilization",
IF(Table13[[#This Row],[Credit_Utilization]]&lt;0.7,"Moderate Utilization",
"High Utilization"))</f>
        <v>Low Utilization</v>
      </c>
      <c r="H452" s="21">
        <v>4</v>
      </c>
      <c r="I452" s="21">
        <v>0</v>
      </c>
      <c r="J452" s="21">
        <v>29845</v>
      </c>
      <c r="K452">
        <v>0.27768403658190999</v>
      </c>
      <c r="L452" t="str">
        <f>IF(Table13[[#This Row],[Debt_to_Income_Ratio]]&lt;0.3,"Low DTI", IF(Table13[[#This Row],[Debt_to_Income_Ratio]]&lt;0.5,"Moderate DTI", "High DTI"))</f>
        <v>Low DTI</v>
      </c>
      <c r="M452" t="s">
        <v>43</v>
      </c>
      <c r="N452" s="21">
        <v>16</v>
      </c>
      <c r="O452" t="s">
        <v>37</v>
      </c>
      <c r="P452" t="s">
        <v>22</v>
      </c>
      <c r="Q452" t="s">
        <v>29</v>
      </c>
      <c r="R452" t="s">
        <v>23</v>
      </c>
      <c r="S452" t="s">
        <v>29</v>
      </c>
      <c r="T452" t="s">
        <v>29</v>
      </c>
      <c r="U452" t="s">
        <v>29</v>
      </c>
      <c r="V452" t="s">
        <v>24</v>
      </c>
    </row>
    <row r="453" spans="1:22">
      <c r="A453" t="s">
        <v>489</v>
      </c>
      <c r="B453" s="21">
        <v>50</v>
      </c>
      <c r="C453" s="21">
        <v>99076</v>
      </c>
      <c r="D453" s="21">
        <v>332</v>
      </c>
      <c r="E453" t="str">
        <f>VLOOKUP(Table13[[#This Row],[Credit_Score]],Table4[],2,TRUE)</f>
        <v>High Risk</v>
      </c>
      <c r="F453">
        <v>0.71663571941125104</v>
      </c>
      <c r="G453" t="str">
        <f>IF(Table13[[#This Row],[Credit_Utilization]]&lt;0.3,"Low Utilization",
IF(Table13[[#This Row],[Credit_Utilization]]&lt;0.7,"Moderate Utilization",
"High Utilization"))</f>
        <v>High Utilization</v>
      </c>
      <c r="H453" s="21">
        <v>3</v>
      </c>
      <c r="I453" s="21">
        <v>0</v>
      </c>
      <c r="J453" s="21">
        <v>62010</v>
      </c>
      <c r="K453">
        <v>0.35436079274801202</v>
      </c>
      <c r="L453" t="str">
        <f>IF(Table13[[#This Row],[Debt_to_Income_Ratio]]&lt;0.3,"Low DTI", IF(Table13[[#This Row],[Debt_to_Income_Ratio]]&lt;0.5,"Moderate DTI", "High DTI"))</f>
        <v>Moderate DTI</v>
      </c>
      <c r="M453" t="s">
        <v>43</v>
      </c>
      <c r="N453" s="21">
        <v>4</v>
      </c>
      <c r="O453" t="s">
        <v>27</v>
      </c>
      <c r="P453" t="s">
        <v>32</v>
      </c>
      <c r="Q453" t="s">
        <v>29</v>
      </c>
      <c r="R453" t="s">
        <v>24</v>
      </c>
      <c r="S453" t="s">
        <v>24</v>
      </c>
      <c r="T453" t="s">
        <v>29</v>
      </c>
      <c r="U453" t="s">
        <v>24</v>
      </c>
      <c r="V453" t="s">
        <v>24</v>
      </c>
    </row>
    <row r="454" spans="1:22">
      <c r="A454" t="s">
        <v>490</v>
      </c>
      <c r="B454" s="21">
        <v>26</v>
      </c>
      <c r="C454" s="21">
        <v>190333</v>
      </c>
      <c r="D454" s="21">
        <v>462</v>
      </c>
      <c r="E454" t="str">
        <f>VLOOKUP(Table13[[#This Row],[Credit_Score]],Table4[],2,TRUE)</f>
        <v>High Risk</v>
      </c>
      <c r="F454">
        <v>0.64735155108821696</v>
      </c>
      <c r="G454" t="str">
        <f>IF(Table13[[#This Row],[Credit_Utilization]]&lt;0.3,"Low Utilization",
IF(Table13[[#This Row],[Credit_Utilization]]&lt;0.7,"Moderate Utilization",
"High Utilization"))</f>
        <v>Moderate Utilization</v>
      </c>
      <c r="H454" s="21">
        <v>5</v>
      </c>
      <c r="I454" s="21">
        <v>1</v>
      </c>
      <c r="J454" s="21">
        <v>29416</v>
      </c>
      <c r="K454">
        <v>0.28371268790084198</v>
      </c>
      <c r="L454" t="str">
        <f>IF(Table13[[#This Row],[Debt_to_Income_Ratio]]&lt;0.3,"Low DTI", IF(Table13[[#This Row],[Debt_to_Income_Ratio]]&lt;0.5,"Moderate DTI", "High DTI"))</f>
        <v>Low DTI</v>
      </c>
      <c r="M454" t="s">
        <v>43</v>
      </c>
      <c r="N454" s="21">
        <v>1</v>
      </c>
      <c r="O454" t="s">
        <v>21</v>
      </c>
      <c r="P454" t="s">
        <v>38</v>
      </c>
      <c r="Q454" t="s">
        <v>23</v>
      </c>
      <c r="R454" t="s">
        <v>23</v>
      </c>
      <c r="S454" t="s">
        <v>24</v>
      </c>
      <c r="T454" t="s">
        <v>24</v>
      </c>
      <c r="U454" t="s">
        <v>23</v>
      </c>
      <c r="V454" t="s">
        <v>24</v>
      </c>
    </row>
    <row r="455" spans="1:22">
      <c r="A455" t="s">
        <v>491</v>
      </c>
      <c r="B455" s="21">
        <v>60</v>
      </c>
      <c r="C455" s="21">
        <v>65612</v>
      </c>
      <c r="D455" s="21">
        <v>588</v>
      </c>
      <c r="E455" t="str">
        <f>VLOOKUP(Table13[[#This Row],[Credit_Score]],Table4[],2,TRUE)</f>
        <v>High Risk</v>
      </c>
      <c r="F455">
        <v>0.38660780488935098</v>
      </c>
      <c r="G455" t="str">
        <f>IF(Table13[[#This Row],[Credit_Utilization]]&lt;0.3,"Low Utilization",
IF(Table13[[#This Row],[Credit_Utilization]]&lt;0.7,"Moderate Utilization",
"High Utilization"))</f>
        <v>Moderate Utilization</v>
      </c>
      <c r="H455" s="21">
        <v>2</v>
      </c>
      <c r="I455" s="21">
        <v>0</v>
      </c>
      <c r="J455" s="21">
        <v>45776</v>
      </c>
      <c r="K455">
        <v>0.19480850749443099</v>
      </c>
      <c r="L455" t="str">
        <f>IF(Table13[[#This Row],[Debt_to_Income_Ratio]]&lt;0.3,"Low DTI", IF(Table13[[#This Row],[Debt_to_Income_Ratio]]&lt;0.5,"Moderate DTI", "High DTI"))</f>
        <v>Low DTI</v>
      </c>
      <c r="M455" t="s">
        <v>26</v>
      </c>
      <c r="N455" s="21">
        <v>8</v>
      </c>
      <c r="O455" t="s">
        <v>45</v>
      </c>
      <c r="P455" t="s">
        <v>22</v>
      </c>
      <c r="Q455" t="s">
        <v>24</v>
      </c>
      <c r="R455" t="s">
        <v>24</v>
      </c>
      <c r="S455" t="s">
        <v>29</v>
      </c>
      <c r="T455" t="s">
        <v>23</v>
      </c>
      <c r="U455" t="s">
        <v>29</v>
      </c>
      <c r="V455" t="s">
        <v>24</v>
      </c>
    </row>
    <row r="456" spans="1:22">
      <c r="A456" t="s">
        <v>492</v>
      </c>
      <c r="B456" s="21">
        <v>71</v>
      </c>
      <c r="C456" s="21">
        <v>162851</v>
      </c>
      <c r="D456" s="21">
        <v>622</v>
      </c>
      <c r="E456" t="str">
        <f>VLOOKUP(Table13[[#This Row],[Credit_Score]],Table4[],2,TRUE)</f>
        <v>Medium Risk</v>
      </c>
      <c r="F456">
        <v>0.51395584269975902</v>
      </c>
      <c r="G456" t="str">
        <f>IF(Table13[[#This Row],[Credit_Utilization]]&lt;0.3,"Low Utilization",
IF(Table13[[#This Row],[Credit_Utilization]]&lt;0.7,"Moderate Utilization",
"High Utilization"))</f>
        <v>Moderate Utilization</v>
      </c>
      <c r="H456" s="21">
        <v>6</v>
      </c>
      <c r="I456" s="21">
        <v>0</v>
      </c>
      <c r="J456" s="21">
        <v>77743</v>
      </c>
      <c r="K456">
        <v>0.308642541878619</v>
      </c>
      <c r="L456" t="str">
        <f>IF(Table13[[#This Row],[Debt_to_Income_Ratio]]&lt;0.3,"Low DTI", IF(Table13[[#This Row],[Debt_to_Income_Ratio]]&lt;0.5,"Moderate DTI", "High DTI"))</f>
        <v>Moderate DTI</v>
      </c>
      <c r="M456" t="s">
        <v>43</v>
      </c>
      <c r="N456" s="21">
        <v>3</v>
      </c>
      <c r="O456" t="s">
        <v>31</v>
      </c>
      <c r="P456" t="s">
        <v>32</v>
      </c>
      <c r="Q456" t="s">
        <v>29</v>
      </c>
      <c r="R456" t="s">
        <v>24</v>
      </c>
      <c r="S456" t="s">
        <v>23</v>
      </c>
      <c r="T456" t="s">
        <v>23</v>
      </c>
      <c r="U456" t="s">
        <v>24</v>
      </c>
      <c r="V456" t="s">
        <v>24</v>
      </c>
    </row>
    <row r="457" spans="1:22">
      <c r="A457" t="s">
        <v>493</v>
      </c>
      <c r="B457" s="21">
        <v>65</v>
      </c>
      <c r="C457" s="21">
        <v>75566</v>
      </c>
      <c r="D457" s="21">
        <v>338</v>
      </c>
      <c r="E457" t="str">
        <f>VLOOKUP(Table13[[#This Row],[Credit_Score]],Table4[],2,TRUE)</f>
        <v>High Risk</v>
      </c>
      <c r="F457">
        <v>0.70840389663258696</v>
      </c>
      <c r="G457" t="str">
        <f>IF(Table13[[#This Row],[Credit_Utilization]]&lt;0.3,"Low Utilization",
IF(Table13[[#This Row],[Credit_Utilization]]&lt;0.7,"Moderate Utilization",
"High Utilization"))</f>
        <v>High Utilization</v>
      </c>
      <c r="H457" s="21">
        <v>2</v>
      </c>
      <c r="I457" s="21">
        <v>0</v>
      </c>
      <c r="J457" s="21">
        <v>83236</v>
      </c>
      <c r="K457">
        <v>0.27858254628644902</v>
      </c>
      <c r="L457" t="str">
        <f>IF(Table13[[#This Row],[Debt_to_Income_Ratio]]&lt;0.3,"Low DTI", IF(Table13[[#This Row],[Debt_to_Income_Ratio]]&lt;0.5,"Moderate DTI", "High DTI"))</f>
        <v>Low DTI</v>
      </c>
      <c r="M457" t="s">
        <v>26</v>
      </c>
      <c r="N457" s="21">
        <v>16</v>
      </c>
      <c r="O457" t="s">
        <v>31</v>
      </c>
      <c r="P457" t="s">
        <v>53</v>
      </c>
      <c r="Q457" t="s">
        <v>23</v>
      </c>
      <c r="R457" t="s">
        <v>24</v>
      </c>
      <c r="S457" t="s">
        <v>23</v>
      </c>
      <c r="T457" t="s">
        <v>29</v>
      </c>
      <c r="U457" t="s">
        <v>23</v>
      </c>
      <c r="V457" t="s">
        <v>29</v>
      </c>
    </row>
    <row r="458" spans="1:22">
      <c r="A458" t="s">
        <v>494</v>
      </c>
      <c r="B458" s="21">
        <v>56</v>
      </c>
      <c r="C458" s="21">
        <v>177993</v>
      </c>
      <c r="D458" s="21">
        <v>739</v>
      </c>
      <c r="E458" t="str">
        <f>VLOOKUP(Table13[[#This Row],[Credit_Score]],Table4[],2,TRUE)</f>
        <v>Medium Risk</v>
      </c>
      <c r="F458">
        <v>0.40859233282752</v>
      </c>
      <c r="G458" t="str">
        <f>IF(Table13[[#This Row],[Credit_Utilization]]&lt;0.3,"Low Utilization",
IF(Table13[[#This Row],[Credit_Utilization]]&lt;0.7,"Moderate Utilization",
"High Utilization"))</f>
        <v>Moderate Utilization</v>
      </c>
      <c r="H458" s="21">
        <v>4</v>
      </c>
      <c r="I458" s="21">
        <v>0</v>
      </c>
      <c r="J458" s="21">
        <v>24120</v>
      </c>
      <c r="K458">
        <v>0.291660637887111</v>
      </c>
      <c r="L458" t="str">
        <f>IF(Table13[[#This Row],[Debt_to_Income_Ratio]]&lt;0.3,"Low DTI", IF(Table13[[#This Row],[Debt_to_Income_Ratio]]&lt;0.5,"Moderate DTI", "High DTI"))</f>
        <v>Low DTI</v>
      </c>
      <c r="M458" t="s">
        <v>26</v>
      </c>
      <c r="N458" s="21">
        <v>16</v>
      </c>
      <c r="O458" t="s">
        <v>21</v>
      </c>
      <c r="P458" t="s">
        <v>32</v>
      </c>
      <c r="Q458" t="s">
        <v>23</v>
      </c>
      <c r="R458" t="s">
        <v>23</v>
      </c>
      <c r="S458" t="s">
        <v>24</v>
      </c>
      <c r="T458" t="s">
        <v>29</v>
      </c>
      <c r="U458" t="s">
        <v>23</v>
      </c>
      <c r="V458" t="s">
        <v>29</v>
      </c>
    </row>
    <row r="459" spans="1:22">
      <c r="A459" t="s">
        <v>495</v>
      </c>
      <c r="B459" s="21">
        <v>46</v>
      </c>
      <c r="C459" s="21">
        <v>38049</v>
      </c>
      <c r="D459" s="21">
        <v>758</v>
      </c>
      <c r="E459" t="str">
        <f>VLOOKUP(Table13[[#This Row],[Credit_Score]],Table4[],2,TRUE)</f>
        <v>Low Risk</v>
      </c>
      <c r="F459">
        <v>0.439623098961889</v>
      </c>
      <c r="G459" t="str">
        <f>IF(Table13[[#This Row],[Credit_Utilization]]&lt;0.3,"Low Utilization",
IF(Table13[[#This Row],[Credit_Utilization]]&lt;0.7,"Moderate Utilization",
"High Utilization"))</f>
        <v>Moderate Utilization</v>
      </c>
      <c r="H459" s="21">
        <v>1</v>
      </c>
      <c r="I459" s="21">
        <v>0</v>
      </c>
      <c r="J459" s="21">
        <v>71588</v>
      </c>
      <c r="K459">
        <v>0.1</v>
      </c>
      <c r="L459" t="str">
        <f>IF(Table13[[#This Row],[Debt_to_Income_Ratio]]&lt;0.3,"Low DTI", IF(Table13[[#This Row],[Debt_to_Income_Ratio]]&lt;0.5,"Moderate DTI", "High DTI"))</f>
        <v>Low DTI</v>
      </c>
      <c r="M459" t="s">
        <v>43</v>
      </c>
      <c r="N459" s="21">
        <v>17</v>
      </c>
      <c r="O459" t="s">
        <v>37</v>
      </c>
      <c r="P459" t="s">
        <v>28</v>
      </c>
      <c r="Q459" t="s">
        <v>23</v>
      </c>
      <c r="R459" t="s">
        <v>24</v>
      </c>
      <c r="S459" t="s">
        <v>23</v>
      </c>
      <c r="T459" t="s">
        <v>24</v>
      </c>
      <c r="U459" t="s">
        <v>23</v>
      </c>
      <c r="V459" t="s">
        <v>29</v>
      </c>
    </row>
    <row r="460" spans="1:22">
      <c r="A460" t="s">
        <v>496</v>
      </c>
      <c r="B460" s="21">
        <v>59</v>
      </c>
      <c r="C460" s="21">
        <v>107658</v>
      </c>
      <c r="D460" s="21">
        <v>350</v>
      </c>
      <c r="E460" t="str">
        <f>VLOOKUP(Table13[[#This Row],[Credit_Score]],Table4[],2,TRUE)</f>
        <v>High Risk</v>
      </c>
      <c r="F460">
        <v>0.54872650000147405</v>
      </c>
      <c r="G460" t="str">
        <f>IF(Table13[[#This Row],[Credit_Utilization]]&lt;0.3,"Low Utilization",
IF(Table13[[#This Row],[Credit_Utilization]]&lt;0.7,"Moderate Utilization",
"High Utilization"))</f>
        <v>Moderate Utilization</v>
      </c>
      <c r="H460" s="21">
        <v>2</v>
      </c>
      <c r="I460" s="21">
        <v>0</v>
      </c>
      <c r="J460" s="21">
        <v>24835</v>
      </c>
      <c r="K460">
        <v>0.36826360835687</v>
      </c>
      <c r="L460" t="str">
        <f>IF(Table13[[#This Row],[Debt_to_Income_Ratio]]&lt;0.3,"Low DTI", IF(Table13[[#This Row],[Debt_to_Income_Ratio]]&lt;0.5,"Moderate DTI", "High DTI"))</f>
        <v>Moderate DTI</v>
      </c>
      <c r="M460" t="s">
        <v>50</v>
      </c>
      <c r="N460" s="21">
        <v>15</v>
      </c>
      <c r="O460" t="s">
        <v>27</v>
      </c>
      <c r="P460" t="s">
        <v>32</v>
      </c>
      <c r="Q460" t="s">
        <v>24</v>
      </c>
      <c r="R460" t="s">
        <v>23</v>
      </c>
      <c r="S460" t="s">
        <v>29</v>
      </c>
      <c r="T460" t="s">
        <v>29</v>
      </c>
      <c r="U460" t="s">
        <v>24</v>
      </c>
      <c r="V460" t="s">
        <v>23</v>
      </c>
    </row>
    <row r="461" spans="1:22">
      <c r="A461" t="s">
        <v>497</v>
      </c>
      <c r="B461" s="21">
        <v>72</v>
      </c>
      <c r="C461" s="21">
        <v>125448</v>
      </c>
      <c r="D461" s="21">
        <v>354</v>
      </c>
      <c r="E461" t="str">
        <f>VLOOKUP(Table13[[#This Row],[Credit_Score]],Table4[],2,TRUE)</f>
        <v>High Risk</v>
      </c>
      <c r="F461">
        <v>0.408181787289082</v>
      </c>
      <c r="G461" t="str">
        <f>IF(Table13[[#This Row],[Credit_Utilization]]&lt;0.3,"Low Utilization",
IF(Table13[[#This Row],[Credit_Utilization]]&lt;0.7,"Moderate Utilization",
"High Utilization"))</f>
        <v>Moderate Utilization</v>
      </c>
      <c r="H461" s="21">
        <v>5</v>
      </c>
      <c r="I461" s="21">
        <v>0</v>
      </c>
      <c r="J461" s="21">
        <v>45776</v>
      </c>
      <c r="K461">
        <v>0.26853363826532101</v>
      </c>
      <c r="L461" t="str">
        <f>IF(Table13[[#This Row],[Debt_to_Income_Ratio]]&lt;0.3,"Low DTI", IF(Table13[[#This Row],[Debt_to_Income_Ratio]]&lt;0.5,"Moderate DTI", "High DTI"))</f>
        <v>Low DTI</v>
      </c>
      <c r="M461" t="s">
        <v>34</v>
      </c>
      <c r="N461" s="21">
        <v>7</v>
      </c>
      <c r="O461" t="s">
        <v>45</v>
      </c>
      <c r="P461" t="s">
        <v>28</v>
      </c>
      <c r="Q461" t="s">
        <v>23</v>
      </c>
      <c r="R461" t="s">
        <v>23</v>
      </c>
      <c r="S461" t="s">
        <v>23</v>
      </c>
      <c r="T461" t="s">
        <v>24</v>
      </c>
      <c r="U461" t="s">
        <v>23</v>
      </c>
      <c r="V461" t="s">
        <v>24</v>
      </c>
    </row>
    <row r="462" spans="1:22">
      <c r="A462" t="s">
        <v>498</v>
      </c>
      <c r="B462" s="21">
        <v>43</v>
      </c>
      <c r="C462" s="21">
        <v>146800</v>
      </c>
      <c r="D462" s="21">
        <v>459</v>
      </c>
      <c r="E462" t="str">
        <f>VLOOKUP(Table13[[#This Row],[Credit_Score]],Table4[],2,TRUE)</f>
        <v>High Risk</v>
      </c>
      <c r="F462">
        <v>0.671418399397404</v>
      </c>
      <c r="G462" t="str">
        <f>IF(Table13[[#This Row],[Credit_Utilization]]&lt;0.3,"Low Utilization",
IF(Table13[[#This Row],[Credit_Utilization]]&lt;0.7,"Moderate Utilization",
"High Utilization"))</f>
        <v>Moderate Utilization</v>
      </c>
      <c r="H462" s="21">
        <v>4</v>
      </c>
      <c r="I462" s="21">
        <v>1</v>
      </c>
      <c r="J462" s="21">
        <v>17913</v>
      </c>
      <c r="K462">
        <v>0.165184642598173</v>
      </c>
      <c r="L462" t="str">
        <f>IF(Table13[[#This Row],[Debt_to_Income_Ratio]]&lt;0.3,"Low DTI", IF(Table13[[#This Row],[Debt_to_Income_Ratio]]&lt;0.5,"Moderate DTI", "High DTI"))</f>
        <v>Low DTI</v>
      </c>
      <c r="M462" t="s">
        <v>43</v>
      </c>
      <c r="N462" s="21">
        <v>10</v>
      </c>
      <c r="O462" t="s">
        <v>27</v>
      </c>
      <c r="P462" t="s">
        <v>22</v>
      </c>
      <c r="Q462" t="s">
        <v>24</v>
      </c>
      <c r="R462" t="s">
        <v>24</v>
      </c>
      <c r="S462" t="s">
        <v>29</v>
      </c>
      <c r="T462" t="s">
        <v>29</v>
      </c>
      <c r="U462" t="s">
        <v>23</v>
      </c>
      <c r="V462" t="s">
        <v>24</v>
      </c>
    </row>
    <row r="463" spans="1:22">
      <c r="A463" t="s">
        <v>499</v>
      </c>
      <c r="B463" s="21">
        <v>52</v>
      </c>
      <c r="C463" s="21">
        <v>134180</v>
      </c>
      <c r="D463" s="21">
        <v>757</v>
      </c>
      <c r="E463" t="str">
        <f>VLOOKUP(Table13[[#This Row],[Credit_Score]],Table4[],2,TRUE)</f>
        <v>Low Risk</v>
      </c>
      <c r="F463">
        <v>0.46621984393851201</v>
      </c>
      <c r="G463" t="str">
        <f>IF(Table13[[#This Row],[Credit_Utilization]]&lt;0.3,"Low Utilization",
IF(Table13[[#This Row],[Credit_Utilization]]&lt;0.7,"Moderate Utilization",
"High Utilization"))</f>
        <v>Moderate Utilization</v>
      </c>
      <c r="H463" s="21">
        <v>6</v>
      </c>
      <c r="I463" s="21">
        <v>0</v>
      </c>
      <c r="J463" s="21">
        <v>16693</v>
      </c>
      <c r="K463">
        <v>0.39225635168481399</v>
      </c>
      <c r="L463" t="str">
        <f>IF(Table13[[#This Row],[Debt_to_Income_Ratio]]&lt;0.3,"Low DTI", IF(Table13[[#This Row],[Debt_to_Income_Ratio]]&lt;0.5,"Moderate DTI", "High DTI"))</f>
        <v>Moderate DTI</v>
      </c>
      <c r="M463" t="s">
        <v>43</v>
      </c>
      <c r="N463" s="21">
        <v>17</v>
      </c>
      <c r="O463" t="s">
        <v>45</v>
      </c>
      <c r="P463" t="s">
        <v>32</v>
      </c>
      <c r="Q463" t="s">
        <v>23</v>
      </c>
      <c r="R463" t="s">
        <v>24</v>
      </c>
      <c r="S463" t="s">
        <v>23</v>
      </c>
      <c r="T463" t="s">
        <v>24</v>
      </c>
      <c r="U463" t="s">
        <v>24</v>
      </c>
      <c r="V463" t="s">
        <v>29</v>
      </c>
    </row>
    <row r="464" spans="1:22">
      <c r="A464" t="s">
        <v>500</v>
      </c>
      <c r="B464" s="21">
        <v>67</v>
      </c>
      <c r="C464" s="21">
        <v>64922</v>
      </c>
      <c r="D464" s="21">
        <v>658</v>
      </c>
      <c r="E464" t="str">
        <f>VLOOKUP(Table13[[#This Row],[Credit_Score]],Table4[],2,TRUE)</f>
        <v>Medium Risk</v>
      </c>
      <c r="F464">
        <v>0.34319282500120502</v>
      </c>
      <c r="G464" t="str">
        <f>IF(Table13[[#This Row],[Credit_Utilization]]&lt;0.3,"Low Utilization",
IF(Table13[[#This Row],[Credit_Utilization]]&lt;0.7,"Moderate Utilization",
"High Utilization"))</f>
        <v>Moderate Utilization</v>
      </c>
      <c r="H464" s="21">
        <v>3</v>
      </c>
      <c r="I464" s="21">
        <v>0</v>
      </c>
      <c r="J464" s="21">
        <v>67397</v>
      </c>
      <c r="K464">
        <v>0.36363657277529299</v>
      </c>
      <c r="L464" t="str">
        <f>IF(Table13[[#This Row],[Debt_to_Income_Ratio]]&lt;0.3,"Low DTI", IF(Table13[[#This Row],[Debt_to_Income_Ratio]]&lt;0.5,"Moderate DTI", "High DTI"))</f>
        <v>Moderate DTI</v>
      </c>
      <c r="M464" t="s">
        <v>50</v>
      </c>
      <c r="N464" s="21">
        <v>9</v>
      </c>
      <c r="O464" t="s">
        <v>31</v>
      </c>
      <c r="P464" t="s">
        <v>22</v>
      </c>
      <c r="Q464" t="s">
        <v>29</v>
      </c>
      <c r="R464" t="s">
        <v>23</v>
      </c>
      <c r="S464" t="s">
        <v>23</v>
      </c>
      <c r="T464" t="s">
        <v>24</v>
      </c>
      <c r="U464" t="s">
        <v>29</v>
      </c>
      <c r="V464" t="s">
        <v>29</v>
      </c>
    </row>
    <row r="465" spans="1:22">
      <c r="A465" t="s">
        <v>501</v>
      </c>
      <c r="B465" s="21">
        <v>42</v>
      </c>
      <c r="C465" s="21">
        <v>107658</v>
      </c>
      <c r="D465" s="21">
        <v>837</v>
      </c>
      <c r="E465" t="str">
        <f>VLOOKUP(Table13[[#This Row],[Credit_Score]],Table4[],2,TRUE)</f>
        <v>Low Risk</v>
      </c>
      <c r="F465">
        <v>0.62172776597479895</v>
      </c>
      <c r="G465" t="str">
        <f>IF(Table13[[#This Row],[Credit_Utilization]]&lt;0.3,"Low Utilization",
IF(Table13[[#This Row],[Credit_Utilization]]&lt;0.7,"Moderate Utilization",
"High Utilization"))</f>
        <v>Moderate Utilization</v>
      </c>
      <c r="H465" s="21">
        <v>5</v>
      </c>
      <c r="I465" s="21">
        <v>0</v>
      </c>
      <c r="J465" s="21">
        <v>45776</v>
      </c>
      <c r="K465">
        <v>0.26726798037251398</v>
      </c>
      <c r="L465" t="str">
        <f>IF(Table13[[#This Row],[Debt_to_Income_Ratio]]&lt;0.3,"Low DTI", IF(Table13[[#This Row],[Debt_to_Income_Ratio]]&lt;0.5,"Moderate DTI", "High DTI"))</f>
        <v>Low DTI</v>
      </c>
      <c r="M465" t="s">
        <v>50</v>
      </c>
      <c r="N465" s="21">
        <v>12</v>
      </c>
      <c r="O465" t="s">
        <v>27</v>
      </c>
      <c r="P465" t="s">
        <v>22</v>
      </c>
      <c r="Q465" t="s">
        <v>29</v>
      </c>
      <c r="R465" t="s">
        <v>24</v>
      </c>
      <c r="S465" t="s">
        <v>29</v>
      </c>
      <c r="T465" t="s">
        <v>23</v>
      </c>
      <c r="U465" t="s">
        <v>23</v>
      </c>
      <c r="V465" t="s">
        <v>23</v>
      </c>
    </row>
    <row r="466" spans="1:22">
      <c r="A466" t="s">
        <v>502</v>
      </c>
      <c r="B466" s="21">
        <v>41</v>
      </c>
      <c r="C466" s="21">
        <v>24435</v>
      </c>
      <c r="D466" s="21">
        <v>766</v>
      </c>
      <c r="E466" t="str">
        <f>VLOOKUP(Table13[[#This Row],[Credit_Score]],Table4[],2,TRUE)</f>
        <v>Low Risk</v>
      </c>
      <c r="F466">
        <v>0.27157387011373002</v>
      </c>
      <c r="G466" t="str">
        <f>IF(Table13[[#This Row],[Credit_Utilization]]&lt;0.3,"Low Utilization",
IF(Table13[[#This Row],[Credit_Utilization]]&lt;0.7,"Moderate Utilization",
"High Utilization"))</f>
        <v>Low Utilization</v>
      </c>
      <c r="H466" s="21">
        <v>4</v>
      </c>
      <c r="I466" s="21">
        <v>0</v>
      </c>
      <c r="J466" s="21">
        <v>60530</v>
      </c>
      <c r="K466">
        <v>0.18478306204799799</v>
      </c>
      <c r="L466" t="str">
        <f>IF(Table13[[#This Row],[Debt_to_Income_Ratio]]&lt;0.3,"Low DTI", IF(Table13[[#This Row],[Debt_to_Income_Ratio]]&lt;0.5,"Moderate DTI", "High DTI"))</f>
        <v>Low DTI</v>
      </c>
      <c r="M466" t="s">
        <v>43</v>
      </c>
      <c r="N466" s="21">
        <v>16</v>
      </c>
      <c r="O466" t="s">
        <v>21</v>
      </c>
      <c r="P466" t="s">
        <v>38</v>
      </c>
      <c r="Q466" t="s">
        <v>24</v>
      </c>
      <c r="R466" t="s">
        <v>29</v>
      </c>
      <c r="S466" t="s">
        <v>24</v>
      </c>
      <c r="T466" t="s">
        <v>24</v>
      </c>
      <c r="U466" t="s">
        <v>24</v>
      </c>
      <c r="V466" t="s">
        <v>23</v>
      </c>
    </row>
    <row r="467" spans="1:22">
      <c r="A467" t="s">
        <v>503</v>
      </c>
      <c r="B467" s="21">
        <v>30</v>
      </c>
      <c r="C467" s="21">
        <v>107658</v>
      </c>
      <c r="D467" s="21">
        <v>664</v>
      </c>
      <c r="E467" t="str">
        <f>VLOOKUP(Table13[[#This Row],[Credit_Score]],Table4[],2,TRUE)</f>
        <v>Medium Risk</v>
      </c>
      <c r="F467">
        <v>0.90297571222484196</v>
      </c>
      <c r="G467" t="str">
        <f>IF(Table13[[#This Row],[Credit_Utilization]]&lt;0.3,"Low Utilization",
IF(Table13[[#This Row],[Credit_Utilization]]&lt;0.7,"Moderate Utilization",
"High Utilization"))</f>
        <v>High Utilization</v>
      </c>
      <c r="H467" s="21">
        <v>5</v>
      </c>
      <c r="I467" s="21">
        <v>0</v>
      </c>
      <c r="J467" s="21">
        <v>45776</v>
      </c>
      <c r="K467">
        <v>0.31780307346793701</v>
      </c>
      <c r="L467" t="str">
        <f>IF(Table13[[#This Row],[Debt_to_Income_Ratio]]&lt;0.3,"Low DTI", IF(Table13[[#This Row],[Debt_to_Income_Ratio]]&lt;0.5,"Moderate DTI", "High DTI"))</f>
        <v>Moderate DTI</v>
      </c>
      <c r="M467" t="s">
        <v>34</v>
      </c>
      <c r="N467" s="21">
        <v>17</v>
      </c>
      <c r="O467" t="s">
        <v>37</v>
      </c>
      <c r="P467" t="s">
        <v>22</v>
      </c>
      <c r="Q467" t="s">
        <v>24</v>
      </c>
      <c r="R467" t="s">
        <v>24</v>
      </c>
      <c r="S467" t="s">
        <v>24</v>
      </c>
      <c r="T467" t="s">
        <v>23</v>
      </c>
      <c r="U467" t="s">
        <v>29</v>
      </c>
      <c r="V467" t="s">
        <v>29</v>
      </c>
    </row>
    <row r="468" spans="1:22">
      <c r="A468" t="s">
        <v>504</v>
      </c>
      <c r="B468" s="21">
        <v>24</v>
      </c>
      <c r="C468" s="21">
        <v>193998</v>
      </c>
      <c r="D468" s="21">
        <v>700</v>
      </c>
      <c r="E468" t="str">
        <f>VLOOKUP(Table13[[#This Row],[Credit_Score]],Table4[],2,TRUE)</f>
        <v>Medium Risk</v>
      </c>
      <c r="F468">
        <v>0.81649927271603995</v>
      </c>
      <c r="G468" t="str">
        <f>IF(Table13[[#This Row],[Credit_Utilization]]&lt;0.3,"Low Utilization",
IF(Table13[[#This Row],[Credit_Utilization]]&lt;0.7,"Moderate Utilization",
"High Utilization"))</f>
        <v>High Utilization</v>
      </c>
      <c r="H468" s="21">
        <v>2</v>
      </c>
      <c r="I468" s="21">
        <v>0</v>
      </c>
      <c r="J468" s="21">
        <v>18952</v>
      </c>
      <c r="K468">
        <v>0.31231060845876002</v>
      </c>
      <c r="L468" t="str">
        <f>IF(Table13[[#This Row],[Debt_to_Income_Ratio]]&lt;0.3,"Low DTI", IF(Table13[[#This Row],[Debt_to_Income_Ratio]]&lt;0.5,"Moderate DTI", "High DTI"))</f>
        <v>Moderate DTI</v>
      </c>
      <c r="M468" t="s">
        <v>50</v>
      </c>
      <c r="N468" s="21">
        <v>9</v>
      </c>
      <c r="O468" t="s">
        <v>21</v>
      </c>
      <c r="P468" t="s">
        <v>22</v>
      </c>
      <c r="Q468" t="s">
        <v>24</v>
      </c>
      <c r="R468" t="s">
        <v>29</v>
      </c>
      <c r="S468" t="s">
        <v>29</v>
      </c>
      <c r="T468" t="s">
        <v>23</v>
      </c>
      <c r="U468" t="s">
        <v>23</v>
      </c>
      <c r="V468" t="s">
        <v>24</v>
      </c>
    </row>
    <row r="469" spans="1:22">
      <c r="A469" t="s">
        <v>505</v>
      </c>
      <c r="B469" s="21">
        <v>74</v>
      </c>
      <c r="C469" s="21">
        <v>164143</v>
      </c>
      <c r="D469" s="21">
        <v>580</v>
      </c>
      <c r="E469" t="str">
        <f>VLOOKUP(Table13[[#This Row],[Credit_Score]],Table4[],2,TRUE)</f>
        <v>High Risk</v>
      </c>
      <c r="F469">
        <v>0.60269909538420297</v>
      </c>
      <c r="G469" t="str">
        <f>IF(Table13[[#This Row],[Credit_Utilization]]&lt;0.3,"Low Utilization",
IF(Table13[[#This Row],[Credit_Utilization]]&lt;0.7,"Moderate Utilization",
"High Utilization"))</f>
        <v>Moderate Utilization</v>
      </c>
      <c r="H469" s="21">
        <v>6</v>
      </c>
      <c r="I469" s="21">
        <v>0</v>
      </c>
      <c r="J469" s="21">
        <v>44449</v>
      </c>
      <c r="K469">
        <v>0.39243342829917799</v>
      </c>
      <c r="L469" t="str">
        <f>IF(Table13[[#This Row],[Debt_to_Income_Ratio]]&lt;0.3,"Low DTI", IF(Table13[[#This Row],[Debt_to_Income_Ratio]]&lt;0.5,"Moderate DTI", "High DTI"))</f>
        <v>Moderate DTI</v>
      </c>
      <c r="M469" t="s">
        <v>26</v>
      </c>
      <c r="N469" s="21">
        <v>15</v>
      </c>
      <c r="O469" t="s">
        <v>37</v>
      </c>
      <c r="P469" t="s">
        <v>32</v>
      </c>
      <c r="Q469" t="s">
        <v>24</v>
      </c>
      <c r="R469" t="s">
        <v>23</v>
      </c>
      <c r="S469" t="s">
        <v>29</v>
      </c>
      <c r="T469" t="s">
        <v>24</v>
      </c>
      <c r="U469" t="s">
        <v>24</v>
      </c>
      <c r="V469" t="s">
        <v>23</v>
      </c>
    </row>
    <row r="470" spans="1:22">
      <c r="A470" t="s">
        <v>506</v>
      </c>
      <c r="B470" s="21">
        <v>53</v>
      </c>
      <c r="C470" s="21">
        <v>191615</v>
      </c>
      <c r="D470" s="21">
        <v>796</v>
      </c>
      <c r="E470" t="str">
        <f>VLOOKUP(Table13[[#This Row],[Credit_Score]],Table4[],2,TRUE)</f>
        <v>Low Risk</v>
      </c>
      <c r="F470">
        <v>0.58586620436397996</v>
      </c>
      <c r="G470" t="str">
        <f>IF(Table13[[#This Row],[Credit_Utilization]]&lt;0.3,"Low Utilization",
IF(Table13[[#This Row],[Credit_Utilization]]&lt;0.7,"Moderate Utilization",
"High Utilization"))</f>
        <v>Moderate Utilization</v>
      </c>
      <c r="H470" s="21">
        <v>3</v>
      </c>
      <c r="I470" s="21">
        <v>0</v>
      </c>
      <c r="J470" s="21">
        <v>42551</v>
      </c>
      <c r="K470">
        <v>0.25562644851395</v>
      </c>
      <c r="L470" t="str">
        <f>IF(Table13[[#This Row],[Debt_to_Income_Ratio]]&lt;0.3,"Low DTI", IF(Table13[[#This Row],[Debt_to_Income_Ratio]]&lt;0.5,"Moderate DTI", "High DTI"))</f>
        <v>Low DTI</v>
      </c>
      <c r="M470" t="s">
        <v>34</v>
      </c>
      <c r="N470" s="21">
        <v>19</v>
      </c>
      <c r="O470" t="s">
        <v>27</v>
      </c>
      <c r="P470" t="s">
        <v>32</v>
      </c>
      <c r="Q470" t="s">
        <v>23</v>
      </c>
      <c r="R470" t="s">
        <v>23</v>
      </c>
      <c r="S470" t="s">
        <v>29</v>
      </c>
      <c r="T470" t="s">
        <v>23</v>
      </c>
      <c r="U470" t="s">
        <v>23</v>
      </c>
      <c r="V470" t="s">
        <v>23</v>
      </c>
    </row>
    <row r="471" spans="1:22">
      <c r="A471" t="s">
        <v>507</v>
      </c>
      <c r="B471" s="21">
        <v>62</v>
      </c>
      <c r="C471" s="21">
        <v>75566</v>
      </c>
      <c r="D471" s="21">
        <v>845</v>
      </c>
      <c r="E471" t="str">
        <f>VLOOKUP(Table13[[#This Row],[Credit_Score]],Table4[],2,TRUE)</f>
        <v>Low Risk</v>
      </c>
      <c r="F471">
        <v>0.57648828356385895</v>
      </c>
      <c r="G471" t="str">
        <f>IF(Table13[[#This Row],[Credit_Utilization]]&lt;0.3,"Low Utilization",
IF(Table13[[#This Row],[Credit_Utilization]]&lt;0.7,"Moderate Utilization",
"High Utilization"))</f>
        <v>Moderate Utilization</v>
      </c>
      <c r="H471" s="21">
        <v>4</v>
      </c>
      <c r="I471" s="21">
        <v>0</v>
      </c>
      <c r="J471" s="21">
        <v>82482</v>
      </c>
      <c r="K471">
        <v>0.41949221348649901</v>
      </c>
      <c r="L471" t="str">
        <f>IF(Table13[[#This Row],[Debt_to_Income_Ratio]]&lt;0.3,"Low DTI", IF(Table13[[#This Row],[Debt_to_Income_Ratio]]&lt;0.5,"Moderate DTI", "High DTI"))</f>
        <v>Moderate DTI</v>
      </c>
      <c r="M471" t="s">
        <v>43</v>
      </c>
      <c r="N471" s="21">
        <v>4</v>
      </c>
      <c r="O471" t="s">
        <v>27</v>
      </c>
      <c r="P471" t="s">
        <v>53</v>
      </c>
      <c r="Q471" t="s">
        <v>23</v>
      </c>
      <c r="R471" t="s">
        <v>23</v>
      </c>
      <c r="S471" t="s">
        <v>23</v>
      </c>
      <c r="T471" t="s">
        <v>24</v>
      </c>
      <c r="U471" t="s">
        <v>23</v>
      </c>
      <c r="V471" t="s">
        <v>24</v>
      </c>
    </row>
    <row r="472" spans="1:22">
      <c r="A472" t="s">
        <v>508</v>
      </c>
      <c r="B472" s="21">
        <v>37</v>
      </c>
      <c r="C472" s="21">
        <v>167424</v>
      </c>
      <c r="D472" s="21">
        <v>813</v>
      </c>
      <c r="E472" t="str">
        <f>VLOOKUP(Table13[[#This Row],[Credit_Score]],Table4[],2,TRUE)</f>
        <v>Low Risk</v>
      </c>
      <c r="F472">
        <v>0.40218104281621803</v>
      </c>
      <c r="G472" t="str">
        <f>IF(Table13[[#This Row],[Credit_Utilization]]&lt;0.3,"Low Utilization",
IF(Table13[[#This Row],[Credit_Utilization]]&lt;0.7,"Moderate Utilization",
"High Utilization"))</f>
        <v>Moderate Utilization</v>
      </c>
      <c r="H472" s="21">
        <v>0</v>
      </c>
      <c r="I472" s="21">
        <v>0</v>
      </c>
      <c r="J472" s="21">
        <v>33772</v>
      </c>
      <c r="K472">
        <v>0.24597469966642299</v>
      </c>
      <c r="L472" t="str">
        <f>IF(Table13[[#This Row],[Debt_to_Income_Ratio]]&lt;0.3,"Low DTI", IF(Table13[[#This Row],[Debt_to_Income_Ratio]]&lt;0.5,"Moderate DTI", "High DTI"))</f>
        <v>Low DTI</v>
      </c>
      <c r="M472" t="s">
        <v>34</v>
      </c>
      <c r="N472" s="21">
        <v>12</v>
      </c>
      <c r="O472" t="s">
        <v>37</v>
      </c>
      <c r="P472" t="s">
        <v>38</v>
      </c>
      <c r="Q472" t="s">
        <v>29</v>
      </c>
      <c r="R472" t="s">
        <v>29</v>
      </c>
      <c r="S472" t="s">
        <v>24</v>
      </c>
      <c r="T472" t="s">
        <v>23</v>
      </c>
      <c r="U472" t="s">
        <v>24</v>
      </c>
      <c r="V472" t="s">
        <v>29</v>
      </c>
    </row>
    <row r="473" spans="1:22">
      <c r="A473" t="s">
        <v>509</v>
      </c>
      <c r="B473" s="21">
        <v>18</v>
      </c>
      <c r="C473" s="21">
        <v>53513</v>
      </c>
      <c r="D473" s="21">
        <v>617</v>
      </c>
      <c r="E473" t="str">
        <f>VLOOKUP(Table13[[#This Row],[Credit_Score]],Table4[],2,TRUE)</f>
        <v>Medium Risk</v>
      </c>
      <c r="F473">
        <v>0.55946192913616799</v>
      </c>
      <c r="G473" t="str">
        <f>IF(Table13[[#This Row],[Credit_Utilization]]&lt;0.3,"Low Utilization",
IF(Table13[[#This Row],[Credit_Utilization]]&lt;0.7,"Moderate Utilization",
"High Utilization"))</f>
        <v>Moderate Utilization</v>
      </c>
      <c r="H473" s="21">
        <v>3</v>
      </c>
      <c r="I473" s="21">
        <v>0</v>
      </c>
      <c r="J473" s="21">
        <v>43870</v>
      </c>
      <c r="K473">
        <v>0.16541682154575699</v>
      </c>
      <c r="L473" t="str">
        <f>IF(Table13[[#This Row],[Debt_to_Income_Ratio]]&lt;0.3,"Low DTI", IF(Table13[[#This Row],[Debt_to_Income_Ratio]]&lt;0.5,"Moderate DTI", "High DTI"))</f>
        <v>Low DTI</v>
      </c>
      <c r="M473" t="s">
        <v>43</v>
      </c>
      <c r="N473" s="21">
        <v>17</v>
      </c>
      <c r="O473" t="s">
        <v>31</v>
      </c>
      <c r="P473" t="s">
        <v>22</v>
      </c>
      <c r="Q473" t="s">
        <v>23</v>
      </c>
      <c r="R473" t="s">
        <v>29</v>
      </c>
      <c r="S473" t="s">
        <v>29</v>
      </c>
      <c r="T473" t="s">
        <v>24</v>
      </c>
      <c r="U473" t="s">
        <v>29</v>
      </c>
      <c r="V473" t="s">
        <v>23</v>
      </c>
    </row>
    <row r="474" spans="1:22">
      <c r="A474" t="s">
        <v>510</v>
      </c>
      <c r="B474" s="21">
        <v>25</v>
      </c>
      <c r="C474" s="21">
        <v>155932</v>
      </c>
      <c r="D474" s="21">
        <v>754</v>
      </c>
      <c r="E474" t="str">
        <f>VLOOKUP(Table13[[#This Row],[Credit_Score]],Table4[],2,TRUE)</f>
        <v>Low Risk</v>
      </c>
      <c r="F474">
        <v>0.31537347790843001</v>
      </c>
      <c r="G474" t="str">
        <f>IF(Table13[[#This Row],[Credit_Utilization]]&lt;0.3,"Low Utilization",
IF(Table13[[#This Row],[Credit_Utilization]]&lt;0.7,"Moderate Utilization",
"High Utilization"))</f>
        <v>Moderate Utilization</v>
      </c>
      <c r="H474" s="21">
        <v>0</v>
      </c>
      <c r="I474" s="21">
        <v>0</v>
      </c>
      <c r="J474" s="21">
        <v>23685</v>
      </c>
      <c r="K474">
        <v>0.186771724452271</v>
      </c>
      <c r="L474" t="str">
        <f>IF(Table13[[#This Row],[Debt_to_Income_Ratio]]&lt;0.3,"Low DTI", IF(Table13[[#This Row],[Debt_to_Income_Ratio]]&lt;0.5,"Moderate DTI", "High DTI"))</f>
        <v>Low DTI</v>
      </c>
      <c r="M474" t="s">
        <v>34</v>
      </c>
      <c r="N474" s="21">
        <v>16</v>
      </c>
      <c r="O474" t="s">
        <v>45</v>
      </c>
      <c r="P474" t="s">
        <v>38</v>
      </c>
      <c r="Q474" t="s">
        <v>29</v>
      </c>
      <c r="R474" t="s">
        <v>23</v>
      </c>
      <c r="S474" t="s">
        <v>23</v>
      </c>
      <c r="T474" t="s">
        <v>24</v>
      </c>
      <c r="U474" t="s">
        <v>29</v>
      </c>
      <c r="V474" t="s">
        <v>24</v>
      </c>
    </row>
    <row r="475" spans="1:22">
      <c r="A475" t="s">
        <v>511</v>
      </c>
      <c r="B475" s="21">
        <v>63</v>
      </c>
      <c r="C475" s="21">
        <v>107658</v>
      </c>
      <c r="D475" s="21">
        <v>475</v>
      </c>
      <c r="E475" t="str">
        <f>VLOOKUP(Table13[[#This Row],[Credit_Score]],Table4[],2,TRUE)</f>
        <v>High Risk</v>
      </c>
      <c r="F475">
        <v>0.60076368368803601</v>
      </c>
      <c r="G475" t="str">
        <f>IF(Table13[[#This Row],[Credit_Utilization]]&lt;0.3,"Low Utilization",
IF(Table13[[#This Row],[Credit_Utilization]]&lt;0.7,"Moderate Utilization",
"High Utilization"))</f>
        <v>Moderate Utilization</v>
      </c>
      <c r="H475" s="21">
        <v>5</v>
      </c>
      <c r="I475" s="21">
        <v>0</v>
      </c>
      <c r="J475" s="21">
        <v>75316</v>
      </c>
      <c r="K475">
        <v>0.29375884608643799</v>
      </c>
      <c r="L475" t="str">
        <f>IF(Table13[[#This Row],[Debt_to_Income_Ratio]]&lt;0.3,"Low DTI", IF(Table13[[#This Row],[Debt_to_Income_Ratio]]&lt;0.5,"Moderate DTI", "High DTI"))</f>
        <v>Low DTI</v>
      </c>
      <c r="M475" t="s">
        <v>26</v>
      </c>
      <c r="N475" s="21">
        <v>8</v>
      </c>
      <c r="O475" t="s">
        <v>21</v>
      </c>
      <c r="P475" t="s">
        <v>28</v>
      </c>
      <c r="Q475" t="s">
        <v>24</v>
      </c>
      <c r="R475" t="s">
        <v>29</v>
      </c>
      <c r="S475" t="s">
        <v>24</v>
      </c>
      <c r="T475" t="s">
        <v>23</v>
      </c>
      <c r="U475" t="s">
        <v>23</v>
      </c>
      <c r="V475" t="s">
        <v>23</v>
      </c>
    </row>
    <row r="476" spans="1:22">
      <c r="A476" t="s">
        <v>512</v>
      </c>
      <c r="B476" s="21">
        <v>33</v>
      </c>
      <c r="C476" s="21">
        <v>38049</v>
      </c>
      <c r="D476" s="21">
        <v>508</v>
      </c>
      <c r="E476" t="str">
        <f>VLOOKUP(Table13[[#This Row],[Credit_Score]],Table4[],2,TRUE)</f>
        <v>High Risk</v>
      </c>
      <c r="F476">
        <v>0.67356938860625903</v>
      </c>
      <c r="G476" t="str">
        <f>IF(Table13[[#This Row],[Credit_Utilization]]&lt;0.3,"Low Utilization",
IF(Table13[[#This Row],[Credit_Utilization]]&lt;0.7,"Moderate Utilization",
"High Utilization"))</f>
        <v>Moderate Utilization</v>
      </c>
      <c r="H476" s="21">
        <v>1</v>
      </c>
      <c r="I476" s="21">
        <v>0</v>
      </c>
      <c r="J476" s="21">
        <v>60348</v>
      </c>
      <c r="K476">
        <v>0.29344854909412599</v>
      </c>
      <c r="L476" t="str">
        <f>IF(Table13[[#This Row],[Debt_to_Income_Ratio]]&lt;0.3,"Low DTI", IF(Table13[[#This Row],[Debt_to_Income_Ratio]]&lt;0.5,"Moderate DTI", "High DTI"))</f>
        <v>Low DTI</v>
      </c>
      <c r="M476" t="s">
        <v>43</v>
      </c>
      <c r="N476" s="21">
        <v>13</v>
      </c>
      <c r="O476" t="s">
        <v>21</v>
      </c>
      <c r="P476" t="s">
        <v>22</v>
      </c>
      <c r="Q476" t="s">
        <v>29</v>
      </c>
      <c r="R476" t="s">
        <v>23</v>
      </c>
      <c r="S476" t="s">
        <v>29</v>
      </c>
      <c r="T476" t="s">
        <v>23</v>
      </c>
      <c r="U476" t="s">
        <v>23</v>
      </c>
      <c r="V476" t="s">
        <v>23</v>
      </c>
    </row>
    <row r="477" spans="1:22">
      <c r="A477" t="s">
        <v>513</v>
      </c>
      <c r="B477" s="21">
        <v>31</v>
      </c>
      <c r="C477" s="21">
        <v>169786</v>
      </c>
      <c r="D477" s="21">
        <v>822</v>
      </c>
      <c r="E477" t="str">
        <f>VLOOKUP(Table13[[#This Row],[Credit_Score]],Table4[],2,TRUE)</f>
        <v>Low Risk</v>
      </c>
      <c r="F477">
        <v>0.424382779803333</v>
      </c>
      <c r="G477" t="str">
        <f>IF(Table13[[#This Row],[Credit_Utilization]]&lt;0.3,"Low Utilization",
IF(Table13[[#This Row],[Credit_Utilization]]&lt;0.7,"Moderate Utilization",
"High Utilization"))</f>
        <v>Moderate Utilization</v>
      </c>
      <c r="H477" s="21">
        <v>3</v>
      </c>
      <c r="I477" s="21">
        <v>0</v>
      </c>
      <c r="J477" s="21">
        <v>48437</v>
      </c>
      <c r="K477">
        <v>0.33278611407507702</v>
      </c>
      <c r="L477" t="str">
        <f>IF(Table13[[#This Row],[Debt_to_Income_Ratio]]&lt;0.3,"Low DTI", IF(Table13[[#This Row],[Debt_to_Income_Ratio]]&lt;0.5,"Moderate DTI", "High DTI"))</f>
        <v>Moderate DTI</v>
      </c>
      <c r="M477" t="s">
        <v>43</v>
      </c>
      <c r="N477" s="21">
        <v>16</v>
      </c>
      <c r="O477" t="s">
        <v>21</v>
      </c>
      <c r="P477" t="s">
        <v>38</v>
      </c>
      <c r="Q477" t="s">
        <v>23</v>
      </c>
      <c r="R477" t="s">
        <v>24</v>
      </c>
      <c r="S477" t="s">
        <v>23</v>
      </c>
      <c r="T477" t="s">
        <v>29</v>
      </c>
      <c r="U477" t="s">
        <v>29</v>
      </c>
      <c r="V477" t="s">
        <v>24</v>
      </c>
    </row>
    <row r="478" spans="1:22">
      <c r="A478" t="s">
        <v>514</v>
      </c>
      <c r="B478" s="21">
        <v>29</v>
      </c>
      <c r="C478" s="21">
        <v>52744</v>
      </c>
      <c r="D478" s="21">
        <v>796</v>
      </c>
      <c r="E478" t="str">
        <f>VLOOKUP(Table13[[#This Row],[Credit_Score]],Table4[],2,TRUE)</f>
        <v>Low Risk</v>
      </c>
      <c r="F478">
        <v>0.38097964116905603</v>
      </c>
      <c r="G478" t="str">
        <f>IF(Table13[[#This Row],[Credit_Utilization]]&lt;0.3,"Low Utilization",
IF(Table13[[#This Row],[Credit_Utilization]]&lt;0.7,"Moderate Utilization",
"High Utilization"))</f>
        <v>Moderate Utilization</v>
      </c>
      <c r="H478" s="21">
        <v>5</v>
      </c>
      <c r="I478" s="21">
        <v>0</v>
      </c>
      <c r="J478" s="21">
        <v>44439</v>
      </c>
      <c r="K478">
        <v>0.29096259688815501</v>
      </c>
      <c r="L478" t="str">
        <f>IF(Table13[[#This Row],[Debt_to_Income_Ratio]]&lt;0.3,"Low DTI", IF(Table13[[#This Row],[Debt_to_Income_Ratio]]&lt;0.5,"Moderate DTI", "High DTI"))</f>
        <v>Low DTI</v>
      </c>
      <c r="M478" t="s">
        <v>43</v>
      </c>
      <c r="N478" s="21">
        <v>3</v>
      </c>
      <c r="O478" t="s">
        <v>27</v>
      </c>
      <c r="P478" t="s">
        <v>53</v>
      </c>
      <c r="Q478" t="s">
        <v>29</v>
      </c>
      <c r="R478" t="s">
        <v>23</v>
      </c>
      <c r="S478" t="s">
        <v>24</v>
      </c>
      <c r="T478" t="s">
        <v>24</v>
      </c>
      <c r="U478" t="s">
        <v>24</v>
      </c>
      <c r="V478" t="s">
        <v>23</v>
      </c>
    </row>
    <row r="479" spans="1:22">
      <c r="A479" t="s">
        <v>515</v>
      </c>
      <c r="B479" s="21">
        <v>68</v>
      </c>
      <c r="C479" s="21">
        <v>24435</v>
      </c>
      <c r="D479" s="21">
        <v>307</v>
      </c>
      <c r="E479" t="str">
        <f>VLOOKUP(Table13[[#This Row],[Credit_Score]],Table4[],2,TRUE)</f>
        <v>High Risk</v>
      </c>
      <c r="F479">
        <v>0.25750459507041801</v>
      </c>
      <c r="G479" t="str">
        <f>IF(Table13[[#This Row],[Credit_Utilization]]&lt;0.3,"Low Utilization",
IF(Table13[[#This Row],[Credit_Utilization]]&lt;0.7,"Moderate Utilization",
"High Utilization"))</f>
        <v>Low Utilization</v>
      </c>
      <c r="H479" s="21">
        <v>0</v>
      </c>
      <c r="I479" s="21">
        <v>1</v>
      </c>
      <c r="J479" s="21">
        <v>20374</v>
      </c>
      <c r="K479">
        <v>0.39773185160643199</v>
      </c>
      <c r="L479" t="str">
        <f>IF(Table13[[#This Row],[Debt_to_Income_Ratio]]&lt;0.3,"Low DTI", IF(Table13[[#This Row],[Debt_to_Income_Ratio]]&lt;0.5,"Moderate DTI", "High DTI"))</f>
        <v>Moderate DTI</v>
      </c>
      <c r="M479" t="s">
        <v>43</v>
      </c>
      <c r="N479" s="21">
        <v>17</v>
      </c>
      <c r="O479" t="s">
        <v>21</v>
      </c>
      <c r="P479" t="s">
        <v>53</v>
      </c>
      <c r="Q479" t="s">
        <v>29</v>
      </c>
      <c r="R479" t="s">
        <v>29</v>
      </c>
      <c r="S479" t="s">
        <v>24</v>
      </c>
      <c r="T479" t="s">
        <v>23</v>
      </c>
      <c r="U479" t="s">
        <v>24</v>
      </c>
      <c r="V479" t="s">
        <v>29</v>
      </c>
    </row>
    <row r="480" spans="1:22">
      <c r="A480" t="s">
        <v>516</v>
      </c>
      <c r="B480" s="21">
        <v>40</v>
      </c>
      <c r="C480" s="21">
        <v>87474</v>
      </c>
      <c r="D480" s="21">
        <v>429</v>
      </c>
      <c r="E480" t="str">
        <f>VLOOKUP(Table13[[#This Row],[Credit_Score]],Table4[],2,TRUE)</f>
        <v>High Risk</v>
      </c>
      <c r="F480">
        <v>0.79159104671313796</v>
      </c>
      <c r="G480" t="str">
        <f>IF(Table13[[#This Row],[Credit_Utilization]]&lt;0.3,"Low Utilization",
IF(Table13[[#This Row],[Credit_Utilization]]&lt;0.7,"Moderate Utilization",
"High Utilization"))</f>
        <v>High Utilization</v>
      </c>
      <c r="H480" s="21">
        <v>2</v>
      </c>
      <c r="I480" s="21">
        <v>0</v>
      </c>
      <c r="J480" s="21">
        <v>26417</v>
      </c>
      <c r="K480">
        <v>0.27389059015374201</v>
      </c>
      <c r="L480" t="str">
        <f>IF(Table13[[#This Row],[Debt_to_Income_Ratio]]&lt;0.3,"Low DTI", IF(Table13[[#This Row],[Debt_to_Income_Ratio]]&lt;0.5,"Moderate DTI", "High DTI"))</f>
        <v>Low DTI</v>
      </c>
      <c r="M480" t="s">
        <v>34</v>
      </c>
      <c r="N480" s="21">
        <v>19</v>
      </c>
      <c r="O480" t="s">
        <v>45</v>
      </c>
      <c r="P480" t="s">
        <v>22</v>
      </c>
      <c r="Q480" t="s">
        <v>29</v>
      </c>
      <c r="R480" t="s">
        <v>23</v>
      </c>
      <c r="S480" t="s">
        <v>24</v>
      </c>
      <c r="T480" t="s">
        <v>29</v>
      </c>
      <c r="U480" t="s">
        <v>29</v>
      </c>
      <c r="V480" t="s">
        <v>29</v>
      </c>
    </row>
    <row r="481" spans="1:22">
      <c r="A481" t="s">
        <v>517</v>
      </c>
      <c r="B481" s="21">
        <v>32</v>
      </c>
      <c r="C481" s="21">
        <v>86726</v>
      </c>
      <c r="D481" s="21">
        <v>799</v>
      </c>
      <c r="E481" t="str">
        <f>VLOOKUP(Table13[[#This Row],[Credit_Score]],Table4[],2,TRUE)</f>
        <v>Low Risk</v>
      </c>
      <c r="F481">
        <v>0.396867193231557</v>
      </c>
      <c r="G481" t="str">
        <f>IF(Table13[[#This Row],[Credit_Utilization]]&lt;0.3,"Low Utilization",
IF(Table13[[#This Row],[Credit_Utilization]]&lt;0.7,"Moderate Utilization",
"High Utilization"))</f>
        <v>Moderate Utilization</v>
      </c>
      <c r="H481" s="21">
        <v>2</v>
      </c>
      <c r="I481" s="21">
        <v>0</v>
      </c>
      <c r="J481" s="21">
        <v>54622</v>
      </c>
      <c r="K481">
        <v>0.10037237351285801</v>
      </c>
      <c r="L481" t="str">
        <f>IF(Table13[[#This Row],[Debt_to_Income_Ratio]]&lt;0.3,"Low DTI", IF(Table13[[#This Row],[Debt_to_Income_Ratio]]&lt;0.5,"Moderate DTI", "High DTI"))</f>
        <v>Low DTI</v>
      </c>
      <c r="M481" t="s">
        <v>50</v>
      </c>
      <c r="N481" s="21">
        <v>14</v>
      </c>
      <c r="O481" t="s">
        <v>45</v>
      </c>
      <c r="P481" t="s">
        <v>28</v>
      </c>
      <c r="Q481" t="s">
        <v>23</v>
      </c>
      <c r="R481" t="s">
        <v>29</v>
      </c>
      <c r="S481" t="s">
        <v>29</v>
      </c>
      <c r="T481" t="s">
        <v>24</v>
      </c>
      <c r="U481" t="s">
        <v>23</v>
      </c>
      <c r="V481" t="s">
        <v>29</v>
      </c>
    </row>
    <row r="482" spans="1:22">
      <c r="A482" t="s">
        <v>518</v>
      </c>
      <c r="B482" s="21">
        <v>45</v>
      </c>
      <c r="C482" s="21">
        <v>59482</v>
      </c>
      <c r="D482" s="21">
        <v>346</v>
      </c>
      <c r="E482" t="str">
        <f>VLOOKUP(Table13[[#This Row],[Credit_Score]],Table4[],2,TRUE)</f>
        <v>High Risk</v>
      </c>
      <c r="F482">
        <v>0.46025219279667501</v>
      </c>
      <c r="G482" t="str">
        <f>IF(Table13[[#This Row],[Credit_Utilization]]&lt;0.3,"Low Utilization",
IF(Table13[[#This Row],[Credit_Utilization]]&lt;0.7,"Moderate Utilization",
"High Utilization"))</f>
        <v>Moderate Utilization</v>
      </c>
      <c r="H482" s="21">
        <v>1</v>
      </c>
      <c r="I482" s="21">
        <v>0</v>
      </c>
      <c r="J482" s="21">
        <v>85678</v>
      </c>
      <c r="K482">
        <v>0.28789033115342</v>
      </c>
      <c r="L482" t="str">
        <f>IF(Table13[[#This Row],[Debt_to_Income_Ratio]]&lt;0.3,"Low DTI", IF(Table13[[#This Row],[Debt_to_Income_Ratio]]&lt;0.5,"Moderate DTI", "High DTI"))</f>
        <v>Low DTI</v>
      </c>
      <c r="M482" t="s">
        <v>43</v>
      </c>
      <c r="N482" s="21">
        <v>10</v>
      </c>
      <c r="O482" t="s">
        <v>37</v>
      </c>
      <c r="P482" t="s">
        <v>53</v>
      </c>
      <c r="Q482" t="s">
        <v>23</v>
      </c>
      <c r="R482" t="s">
        <v>29</v>
      </c>
      <c r="S482" t="s">
        <v>29</v>
      </c>
      <c r="T482" t="s">
        <v>24</v>
      </c>
      <c r="U482" t="s">
        <v>29</v>
      </c>
      <c r="V482" t="s">
        <v>23</v>
      </c>
    </row>
    <row r="483" spans="1:22">
      <c r="A483" t="s">
        <v>519</v>
      </c>
      <c r="B483" s="21">
        <v>51</v>
      </c>
      <c r="C483" s="21">
        <v>59811</v>
      </c>
      <c r="D483" s="21">
        <v>792</v>
      </c>
      <c r="E483" t="str">
        <f>VLOOKUP(Table13[[#This Row],[Credit_Score]],Table4[],2,TRUE)</f>
        <v>Low Risk</v>
      </c>
      <c r="F483">
        <v>0.56003111699914498</v>
      </c>
      <c r="G483" t="str">
        <f>IF(Table13[[#This Row],[Credit_Utilization]]&lt;0.3,"Low Utilization",
IF(Table13[[#This Row],[Credit_Utilization]]&lt;0.7,"Moderate Utilization",
"High Utilization"))</f>
        <v>Moderate Utilization</v>
      </c>
      <c r="H483" s="21">
        <v>3</v>
      </c>
      <c r="I483" s="21">
        <v>0</v>
      </c>
      <c r="J483" s="21">
        <v>45776</v>
      </c>
      <c r="K483">
        <v>0.1</v>
      </c>
      <c r="L483" t="str">
        <f>IF(Table13[[#This Row],[Debt_to_Income_Ratio]]&lt;0.3,"Low DTI", IF(Table13[[#This Row],[Debt_to_Income_Ratio]]&lt;0.5,"Moderate DTI", "High DTI"))</f>
        <v>Low DTI</v>
      </c>
      <c r="M483" t="s">
        <v>43</v>
      </c>
      <c r="N483" s="21">
        <v>11</v>
      </c>
      <c r="O483" t="s">
        <v>27</v>
      </c>
      <c r="P483" t="s">
        <v>53</v>
      </c>
      <c r="Q483" t="s">
        <v>23</v>
      </c>
      <c r="R483" t="s">
        <v>23</v>
      </c>
      <c r="S483" t="s">
        <v>23</v>
      </c>
      <c r="T483" t="s">
        <v>29</v>
      </c>
      <c r="U483" t="s">
        <v>29</v>
      </c>
      <c r="V483" t="s">
        <v>23</v>
      </c>
    </row>
    <row r="484" spans="1:22">
      <c r="A484" t="s">
        <v>520</v>
      </c>
      <c r="B484" s="21">
        <v>19</v>
      </c>
      <c r="C484" s="21">
        <v>107658</v>
      </c>
      <c r="D484" s="21">
        <v>766</v>
      </c>
      <c r="E484" t="str">
        <f>VLOOKUP(Table13[[#This Row],[Credit_Score]],Table4[],2,TRUE)</f>
        <v>Low Risk</v>
      </c>
      <c r="F484">
        <v>0.55644152857798601</v>
      </c>
      <c r="G484" t="str">
        <f>IF(Table13[[#This Row],[Credit_Utilization]]&lt;0.3,"Low Utilization",
IF(Table13[[#This Row],[Credit_Utilization]]&lt;0.7,"Moderate Utilization",
"High Utilization"))</f>
        <v>Moderate Utilization</v>
      </c>
      <c r="H484" s="21">
        <v>3</v>
      </c>
      <c r="I484" s="21">
        <v>0</v>
      </c>
      <c r="J484" s="21">
        <v>45776</v>
      </c>
      <c r="K484">
        <v>0.32713909809976899</v>
      </c>
      <c r="L484" t="str">
        <f>IF(Table13[[#This Row],[Debt_to_Income_Ratio]]&lt;0.3,"Low DTI", IF(Table13[[#This Row],[Debt_to_Income_Ratio]]&lt;0.5,"Moderate DTI", "High DTI"))</f>
        <v>Moderate DTI</v>
      </c>
      <c r="M484" t="s">
        <v>43</v>
      </c>
      <c r="N484" s="21">
        <v>8</v>
      </c>
      <c r="O484" t="s">
        <v>45</v>
      </c>
      <c r="P484" t="s">
        <v>28</v>
      </c>
      <c r="Q484" t="s">
        <v>24</v>
      </c>
      <c r="R484" t="s">
        <v>29</v>
      </c>
      <c r="S484" t="s">
        <v>23</v>
      </c>
      <c r="T484" t="s">
        <v>23</v>
      </c>
      <c r="U484" t="s">
        <v>24</v>
      </c>
      <c r="V484" t="s">
        <v>23</v>
      </c>
    </row>
    <row r="485" spans="1:22">
      <c r="A485" t="s">
        <v>521</v>
      </c>
      <c r="B485" s="21">
        <v>49</v>
      </c>
      <c r="C485" s="21">
        <v>147396</v>
      </c>
      <c r="D485" s="21">
        <v>401</v>
      </c>
      <c r="E485" t="str">
        <f>VLOOKUP(Table13[[#This Row],[Credit_Score]],Table4[],2,TRUE)</f>
        <v>High Risk</v>
      </c>
      <c r="F485">
        <v>0.64931201913621395</v>
      </c>
      <c r="G485" t="str">
        <f>IF(Table13[[#This Row],[Credit_Utilization]]&lt;0.3,"Low Utilization",
IF(Table13[[#This Row],[Credit_Utilization]]&lt;0.7,"Moderate Utilization",
"High Utilization"))</f>
        <v>Moderate Utilization</v>
      </c>
      <c r="H485" s="21">
        <v>3</v>
      </c>
      <c r="I485" s="21">
        <v>0</v>
      </c>
      <c r="J485" s="21">
        <v>7468</v>
      </c>
      <c r="K485">
        <v>0.40571929989849098</v>
      </c>
      <c r="L485" t="str">
        <f>IF(Table13[[#This Row],[Debt_to_Income_Ratio]]&lt;0.3,"Low DTI", IF(Table13[[#This Row],[Debt_to_Income_Ratio]]&lt;0.5,"Moderate DTI", "High DTI"))</f>
        <v>Moderate DTI</v>
      </c>
      <c r="M485" t="s">
        <v>43</v>
      </c>
      <c r="N485" s="21">
        <v>12</v>
      </c>
      <c r="O485" t="s">
        <v>31</v>
      </c>
      <c r="P485" t="s">
        <v>38</v>
      </c>
      <c r="Q485" t="s">
        <v>24</v>
      </c>
      <c r="R485" t="s">
        <v>29</v>
      </c>
      <c r="S485" t="s">
        <v>29</v>
      </c>
      <c r="T485" t="s">
        <v>23</v>
      </c>
      <c r="U485" t="s">
        <v>24</v>
      </c>
      <c r="V485" t="s">
        <v>29</v>
      </c>
    </row>
    <row r="486" spans="1:22">
      <c r="A486" t="s">
        <v>522</v>
      </c>
      <c r="B486" s="21">
        <v>40</v>
      </c>
      <c r="C486" s="21">
        <v>116570</v>
      </c>
      <c r="D486" s="21">
        <v>556</v>
      </c>
      <c r="E486" t="str">
        <f>VLOOKUP(Table13[[#This Row],[Credit_Score]],Table4[],2,TRUE)</f>
        <v>High Risk</v>
      </c>
      <c r="F486">
        <v>0.42413401603233403</v>
      </c>
      <c r="G486" t="str">
        <f>IF(Table13[[#This Row],[Credit_Utilization]]&lt;0.3,"Low Utilization",
IF(Table13[[#This Row],[Credit_Utilization]]&lt;0.7,"Moderate Utilization",
"High Utilization"))</f>
        <v>Moderate Utilization</v>
      </c>
      <c r="H486" s="21">
        <v>5</v>
      </c>
      <c r="I486" s="21">
        <v>0</v>
      </c>
      <c r="J486" s="21">
        <v>76567</v>
      </c>
      <c r="K486">
        <v>0.20137755137174801</v>
      </c>
      <c r="L486" t="str">
        <f>IF(Table13[[#This Row],[Debt_to_Income_Ratio]]&lt;0.3,"Low DTI", IF(Table13[[#This Row],[Debt_to_Income_Ratio]]&lt;0.5,"Moderate DTI", "High DTI"))</f>
        <v>Low DTI</v>
      </c>
      <c r="M486" t="s">
        <v>43</v>
      </c>
      <c r="N486" s="21">
        <v>14</v>
      </c>
      <c r="O486" t="s">
        <v>27</v>
      </c>
      <c r="P486" t="s">
        <v>53</v>
      </c>
      <c r="Q486" t="s">
        <v>24</v>
      </c>
      <c r="R486" t="s">
        <v>29</v>
      </c>
      <c r="S486" t="s">
        <v>23</v>
      </c>
      <c r="T486" t="s">
        <v>24</v>
      </c>
      <c r="U486" t="s">
        <v>29</v>
      </c>
      <c r="V486" t="s">
        <v>29</v>
      </c>
    </row>
    <row r="487" spans="1:22">
      <c r="A487" t="s">
        <v>523</v>
      </c>
      <c r="B487" s="21">
        <v>39</v>
      </c>
      <c r="C487" s="21">
        <v>39285</v>
      </c>
      <c r="D487" s="21">
        <v>567</v>
      </c>
      <c r="E487" t="str">
        <f>VLOOKUP(Table13[[#This Row],[Credit_Score]],Table4[],2,TRUE)</f>
        <v>High Risk</v>
      </c>
      <c r="F487">
        <v>0.272266412305817</v>
      </c>
      <c r="G487" t="str">
        <f>IF(Table13[[#This Row],[Credit_Utilization]]&lt;0.3,"Low Utilization",
IF(Table13[[#This Row],[Credit_Utilization]]&lt;0.7,"Moderate Utilization",
"High Utilization"))</f>
        <v>Low Utilization</v>
      </c>
      <c r="H487" s="21">
        <v>6</v>
      </c>
      <c r="I487" s="21">
        <v>0</v>
      </c>
      <c r="J487" s="21">
        <v>37463</v>
      </c>
      <c r="K487">
        <v>0.44185566863918502</v>
      </c>
      <c r="L487" t="str">
        <f>IF(Table13[[#This Row],[Debt_to_Income_Ratio]]&lt;0.3,"Low DTI", IF(Table13[[#This Row],[Debt_to_Income_Ratio]]&lt;0.5,"Moderate DTI", "High DTI"))</f>
        <v>Moderate DTI</v>
      </c>
      <c r="M487" t="s">
        <v>43</v>
      </c>
      <c r="N487" s="21">
        <v>14</v>
      </c>
      <c r="O487" t="s">
        <v>27</v>
      </c>
      <c r="P487" t="s">
        <v>32</v>
      </c>
      <c r="Q487" t="s">
        <v>24</v>
      </c>
      <c r="R487" t="s">
        <v>24</v>
      </c>
      <c r="S487" t="s">
        <v>29</v>
      </c>
      <c r="T487" t="s">
        <v>23</v>
      </c>
      <c r="U487" t="s">
        <v>24</v>
      </c>
      <c r="V487" t="s">
        <v>23</v>
      </c>
    </row>
    <row r="488" spans="1:22">
      <c r="A488" t="s">
        <v>524</v>
      </c>
      <c r="B488" s="21">
        <v>68</v>
      </c>
      <c r="C488" s="21">
        <v>43732</v>
      </c>
      <c r="D488" s="21">
        <v>524</v>
      </c>
      <c r="E488" t="str">
        <f>VLOOKUP(Table13[[#This Row],[Credit_Score]],Table4[],2,TRUE)</f>
        <v>High Risk</v>
      </c>
      <c r="F488">
        <v>0.23726693820553599</v>
      </c>
      <c r="G488" t="str">
        <f>IF(Table13[[#This Row],[Credit_Utilization]]&lt;0.3,"Low Utilization",
IF(Table13[[#This Row],[Credit_Utilization]]&lt;0.7,"Moderate Utilization",
"High Utilization"))</f>
        <v>Low Utilization</v>
      </c>
      <c r="H488" s="21">
        <v>6</v>
      </c>
      <c r="I488" s="21">
        <v>0</v>
      </c>
      <c r="J488" s="21">
        <v>53553</v>
      </c>
      <c r="K488">
        <v>0.38428312447284302</v>
      </c>
      <c r="L488" t="str">
        <f>IF(Table13[[#This Row],[Debt_to_Income_Ratio]]&lt;0.3,"Low DTI", IF(Table13[[#This Row],[Debt_to_Income_Ratio]]&lt;0.5,"Moderate DTI", "High DTI"))</f>
        <v>Moderate DTI</v>
      </c>
      <c r="M488" t="s">
        <v>50</v>
      </c>
      <c r="N488" s="21">
        <v>4</v>
      </c>
      <c r="O488" t="s">
        <v>45</v>
      </c>
      <c r="P488" t="s">
        <v>53</v>
      </c>
      <c r="Q488" t="s">
        <v>29</v>
      </c>
      <c r="R488" t="s">
        <v>23</v>
      </c>
      <c r="S488" t="s">
        <v>29</v>
      </c>
      <c r="T488" t="s">
        <v>29</v>
      </c>
      <c r="U488" t="s">
        <v>29</v>
      </c>
      <c r="V488" t="s">
        <v>29</v>
      </c>
    </row>
    <row r="489" spans="1:22">
      <c r="A489" t="s">
        <v>525</v>
      </c>
      <c r="B489" s="21">
        <v>42</v>
      </c>
      <c r="C489" s="21">
        <v>188420</v>
      </c>
      <c r="D489" s="21">
        <v>550</v>
      </c>
      <c r="E489" t="str">
        <f>VLOOKUP(Table13[[#This Row],[Credit_Score]],Table4[],2,TRUE)</f>
        <v>High Risk</v>
      </c>
      <c r="F489">
        <v>0.38414895343143002</v>
      </c>
      <c r="G489" t="str">
        <f>IF(Table13[[#This Row],[Credit_Utilization]]&lt;0.3,"Low Utilization",
IF(Table13[[#This Row],[Credit_Utilization]]&lt;0.7,"Moderate Utilization",
"High Utilization"))</f>
        <v>Moderate Utilization</v>
      </c>
      <c r="H489" s="21">
        <v>1</v>
      </c>
      <c r="I489" s="21">
        <v>0</v>
      </c>
      <c r="J489" s="21">
        <v>86846</v>
      </c>
      <c r="K489">
        <v>0.42064801554150499</v>
      </c>
      <c r="L489" t="str">
        <f>IF(Table13[[#This Row],[Debt_to_Income_Ratio]]&lt;0.3,"Low DTI", IF(Table13[[#This Row],[Debt_to_Income_Ratio]]&lt;0.5,"Moderate DTI", "High DTI"))</f>
        <v>Moderate DTI</v>
      </c>
      <c r="M489" t="s">
        <v>34</v>
      </c>
      <c r="N489" s="21">
        <v>18</v>
      </c>
      <c r="O489" t="s">
        <v>31</v>
      </c>
      <c r="P489" t="s">
        <v>38</v>
      </c>
      <c r="Q489" t="s">
        <v>29</v>
      </c>
      <c r="R489" t="s">
        <v>24</v>
      </c>
      <c r="S489" t="s">
        <v>23</v>
      </c>
      <c r="T489" t="s">
        <v>24</v>
      </c>
      <c r="U489" t="s">
        <v>24</v>
      </c>
      <c r="V489" t="s">
        <v>29</v>
      </c>
    </row>
    <row r="490" spans="1:22">
      <c r="A490" t="s">
        <v>526</v>
      </c>
      <c r="B490" s="21">
        <v>39</v>
      </c>
      <c r="C490" s="21">
        <v>115497</v>
      </c>
      <c r="D490" s="21">
        <v>665</v>
      </c>
      <c r="E490" t="str">
        <f>VLOOKUP(Table13[[#This Row],[Credit_Score]],Table4[],2,TRUE)</f>
        <v>Medium Risk</v>
      </c>
      <c r="F490">
        <v>0.30962990506507498</v>
      </c>
      <c r="G490" t="str">
        <f>IF(Table13[[#This Row],[Credit_Utilization]]&lt;0.3,"Low Utilization",
IF(Table13[[#This Row],[Credit_Utilization]]&lt;0.7,"Moderate Utilization",
"High Utilization"))</f>
        <v>Moderate Utilization</v>
      </c>
      <c r="H490" s="21">
        <v>3</v>
      </c>
      <c r="I490" s="21">
        <v>0</v>
      </c>
      <c r="J490" s="21">
        <v>64110</v>
      </c>
      <c r="K490">
        <v>0.31895638564346301</v>
      </c>
      <c r="L490" t="str">
        <f>IF(Table13[[#This Row],[Debt_to_Income_Ratio]]&lt;0.3,"Low DTI", IF(Table13[[#This Row],[Debt_to_Income_Ratio]]&lt;0.5,"Moderate DTI", "High DTI"))</f>
        <v>Moderate DTI</v>
      </c>
      <c r="M490" t="s">
        <v>26</v>
      </c>
      <c r="N490" s="21">
        <v>19</v>
      </c>
      <c r="O490" t="s">
        <v>37</v>
      </c>
      <c r="P490" t="s">
        <v>38</v>
      </c>
      <c r="Q490" t="s">
        <v>23</v>
      </c>
      <c r="R490" t="s">
        <v>24</v>
      </c>
      <c r="S490" t="s">
        <v>23</v>
      </c>
      <c r="T490" t="s">
        <v>29</v>
      </c>
      <c r="U490" t="s">
        <v>29</v>
      </c>
      <c r="V490" t="s">
        <v>24</v>
      </c>
    </row>
    <row r="491" spans="1:22">
      <c r="A491" t="s">
        <v>527</v>
      </c>
      <c r="B491" s="21">
        <v>39</v>
      </c>
      <c r="C491" s="21">
        <v>153877</v>
      </c>
      <c r="D491" s="21">
        <v>618</v>
      </c>
      <c r="E491" t="str">
        <f>VLOOKUP(Table13[[#This Row],[Credit_Score]],Table4[],2,TRUE)</f>
        <v>Medium Risk</v>
      </c>
      <c r="F491">
        <v>0.43927665893844797</v>
      </c>
      <c r="G491" t="str">
        <f>IF(Table13[[#This Row],[Credit_Utilization]]&lt;0.3,"Low Utilization",
IF(Table13[[#This Row],[Credit_Utilization]]&lt;0.7,"Moderate Utilization",
"High Utilization"))</f>
        <v>Moderate Utilization</v>
      </c>
      <c r="H491" s="21">
        <v>5</v>
      </c>
      <c r="I491" s="21">
        <v>0</v>
      </c>
      <c r="J491" s="21">
        <v>36029</v>
      </c>
      <c r="K491">
        <v>0.200723482424817</v>
      </c>
      <c r="L491" t="str">
        <f>IF(Table13[[#This Row],[Debt_to_Income_Ratio]]&lt;0.3,"Low DTI", IF(Table13[[#This Row],[Debt_to_Income_Ratio]]&lt;0.5,"Moderate DTI", "High DTI"))</f>
        <v>Low DTI</v>
      </c>
      <c r="M491" t="s">
        <v>43</v>
      </c>
      <c r="N491" s="21">
        <v>13</v>
      </c>
      <c r="O491" t="s">
        <v>45</v>
      </c>
      <c r="P491" t="s">
        <v>22</v>
      </c>
      <c r="Q491" t="s">
        <v>29</v>
      </c>
      <c r="R491" t="s">
        <v>24</v>
      </c>
      <c r="S491" t="s">
        <v>29</v>
      </c>
      <c r="T491" t="s">
        <v>29</v>
      </c>
      <c r="U491" t="s">
        <v>23</v>
      </c>
      <c r="V491" t="s">
        <v>29</v>
      </c>
    </row>
    <row r="492" spans="1:22">
      <c r="A492" t="s">
        <v>528</v>
      </c>
      <c r="B492" s="21">
        <v>66</v>
      </c>
      <c r="C492" s="21">
        <v>54954</v>
      </c>
      <c r="D492" s="21">
        <v>825</v>
      </c>
      <c r="E492" t="str">
        <f>VLOOKUP(Table13[[#This Row],[Credit_Score]],Table4[],2,TRUE)</f>
        <v>Low Risk</v>
      </c>
      <c r="F492">
        <v>0.76151576215199601</v>
      </c>
      <c r="G492" t="str">
        <f>IF(Table13[[#This Row],[Credit_Utilization]]&lt;0.3,"Low Utilization",
IF(Table13[[#This Row],[Credit_Utilization]]&lt;0.7,"Moderate Utilization",
"High Utilization"))</f>
        <v>High Utilization</v>
      </c>
      <c r="H492" s="21">
        <v>2</v>
      </c>
      <c r="I492" s="21">
        <v>0</v>
      </c>
      <c r="J492" s="21">
        <v>77743</v>
      </c>
      <c r="K492">
        <v>0.37808154278141298</v>
      </c>
      <c r="L492" t="str">
        <f>IF(Table13[[#This Row],[Debt_to_Income_Ratio]]&lt;0.3,"Low DTI", IF(Table13[[#This Row],[Debt_to_Income_Ratio]]&lt;0.5,"Moderate DTI", "High DTI"))</f>
        <v>Moderate DTI</v>
      </c>
      <c r="M492" t="s">
        <v>26</v>
      </c>
      <c r="N492" s="21">
        <v>16</v>
      </c>
      <c r="O492" t="s">
        <v>31</v>
      </c>
      <c r="P492" t="s">
        <v>32</v>
      </c>
      <c r="Q492" t="s">
        <v>23</v>
      </c>
      <c r="R492" t="s">
        <v>24</v>
      </c>
      <c r="S492" t="s">
        <v>29</v>
      </c>
      <c r="T492" t="s">
        <v>29</v>
      </c>
      <c r="U492" t="s">
        <v>24</v>
      </c>
      <c r="V492" t="s">
        <v>29</v>
      </c>
    </row>
    <row r="493" spans="1:22">
      <c r="A493" t="s">
        <v>529</v>
      </c>
      <c r="B493" s="21">
        <v>69</v>
      </c>
      <c r="C493" s="21">
        <v>177993</v>
      </c>
      <c r="D493" s="21">
        <v>818</v>
      </c>
      <c r="E493" t="str">
        <f>VLOOKUP(Table13[[#This Row],[Credit_Score]],Table4[],2,TRUE)</f>
        <v>Low Risk</v>
      </c>
      <c r="F493">
        <v>0.42454435882326202</v>
      </c>
      <c r="G493" t="str">
        <f>IF(Table13[[#This Row],[Credit_Utilization]]&lt;0.3,"Low Utilization",
IF(Table13[[#This Row],[Credit_Utilization]]&lt;0.7,"Moderate Utilization",
"High Utilization"))</f>
        <v>Moderate Utilization</v>
      </c>
      <c r="H493" s="21">
        <v>0</v>
      </c>
      <c r="I493" s="21">
        <v>0</v>
      </c>
      <c r="J493" s="21">
        <v>32630</v>
      </c>
      <c r="K493">
        <v>0.23753990932316599</v>
      </c>
      <c r="L493" t="str">
        <f>IF(Table13[[#This Row],[Debt_to_Income_Ratio]]&lt;0.3,"Low DTI", IF(Table13[[#This Row],[Debt_to_Income_Ratio]]&lt;0.5,"Moderate DTI", "High DTI"))</f>
        <v>Low DTI</v>
      </c>
      <c r="M493" t="s">
        <v>43</v>
      </c>
      <c r="N493" s="21">
        <v>17</v>
      </c>
      <c r="O493" t="s">
        <v>27</v>
      </c>
      <c r="P493" t="s">
        <v>38</v>
      </c>
      <c r="Q493" t="s">
        <v>24</v>
      </c>
      <c r="R493" t="s">
        <v>24</v>
      </c>
      <c r="S493" t="s">
        <v>24</v>
      </c>
      <c r="T493" t="s">
        <v>23</v>
      </c>
      <c r="U493" t="s">
        <v>23</v>
      </c>
      <c r="V493" t="s">
        <v>29</v>
      </c>
    </row>
    <row r="494" spans="1:22">
      <c r="A494" t="s">
        <v>530</v>
      </c>
      <c r="B494" s="21">
        <v>59</v>
      </c>
      <c r="C494" s="21">
        <v>191517</v>
      </c>
      <c r="D494" s="21">
        <v>813</v>
      </c>
      <c r="E494" t="str">
        <f>VLOOKUP(Table13[[#This Row],[Credit_Score]],Table4[],2,TRUE)</f>
        <v>Low Risk</v>
      </c>
      <c r="F494">
        <v>0.424469827733088</v>
      </c>
      <c r="G494" t="str">
        <f>IF(Table13[[#This Row],[Credit_Utilization]]&lt;0.3,"Low Utilization",
IF(Table13[[#This Row],[Credit_Utilization]]&lt;0.7,"Moderate Utilization",
"High Utilization"))</f>
        <v>Moderate Utilization</v>
      </c>
      <c r="H494" s="21">
        <v>5</v>
      </c>
      <c r="I494" s="21">
        <v>0</v>
      </c>
      <c r="J494" s="21">
        <v>23047</v>
      </c>
      <c r="K494">
        <v>0.311788450610335</v>
      </c>
      <c r="L494" t="str">
        <f>IF(Table13[[#This Row],[Debt_to_Income_Ratio]]&lt;0.3,"Low DTI", IF(Table13[[#This Row],[Debt_to_Income_Ratio]]&lt;0.5,"Moderate DTI", "High DTI"))</f>
        <v>Moderate DTI</v>
      </c>
      <c r="M494" t="s">
        <v>34</v>
      </c>
      <c r="N494" s="21">
        <v>2</v>
      </c>
      <c r="O494" t="s">
        <v>31</v>
      </c>
      <c r="P494" t="s">
        <v>28</v>
      </c>
      <c r="Q494" t="s">
        <v>24</v>
      </c>
      <c r="R494" t="s">
        <v>24</v>
      </c>
      <c r="S494" t="s">
        <v>23</v>
      </c>
      <c r="T494" t="s">
        <v>23</v>
      </c>
      <c r="U494" t="s">
        <v>29</v>
      </c>
      <c r="V494" t="s">
        <v>23</v>
      </c>
    </row>
    <row r="495" spans="1:22">
      <c r="A495" t="s">
        <v>531</v>
      </c>
      <c r="B495" s="21">
        <v>23</v>
      </c>
      <c r="C495" s="21">
        <v>168487</v>
      </c>
      <c r="D495" s="21">
        <v>306</v>
      </c>
      <c r="E495" t="str">
        <f>VLOOKUP(Table13[[#This Row],[Credit_Score]],Table4[],2,TRUE)</f>
        <v>High Risk</v>
      </c>
      <c r="F495">
        <v>0.49672024474884202</v>
      </c>
      <c r="G495" t="str">
        <f>IF(Table13[[#This Row],[Credit_Utilization]]&lt;0.3,"Low Utilization",
IF(Table13[[#This Row],[Credit_Utilization]]&lt;0.7,"Moderate Utilization",
"High Utilization"))</f>
        <v>Moderate Utilization</v>
      </c>
      <c r="H495" s="21">
        <v>6</v>
      </c>
      <c r="I495" s="21">
        <v>0</v>
      </c>
      <c r="J495" s="21">
        <v>5539</v>
      </c>
      <c r="K495">
        <v>0.28286490071963799</v>
      </c>
      <c r="L495" t="str">
        <f>IF(Table13[[#This Row],[Debt_to_Income_Ratio]]&lt;0.3,"Low DTI", IF(Table13[[#This Row],[Debt_to_Income_Ratio]]&lt;0.5,"Moderate DTI", "High DTI"))</f>
        <v>Low DTI</v>
      </c>
      <c r="M495" t="s">
        <v>34</v>
      </c>
      <c r="N495" s="21">
        <v>1</v>
      </c>
      <c r="O495" t="s">
        <v>27</v>
      </c>
      <c r="P495" t="s">
        <v>32</v>
      </c>
      <c r="Q495" t="s">
        <v>24</v>
      </c>
      <c r="R495" t="s">
        <v>29</v>
      </c>
      <c r="S495" t="s">
        <v>29</v>
      </c>
      <c r="T495" t="s">
        <v>29</v>
      </c>
      <c r="U495" t="s">
        <v>24</v>
      </c>
      <c r="V495" t="s">
        <v>29</v>
      </c>
    </row>
    <row r="496" spans="1:22">
      <c r="A496" t="s">
        <v>532</v>
      </c>
      <c r="B496" s="21">
        <v>32</v>
      </c>
      <c r="C496" s="21">
        <v>107658</v>
      </c>
      <c r="D496" s="21">
        <v>811</v>
      </c>
      <c r="E496" t="str">
        <f>VLOOKUP(Table13[[#This Row],[Credit_Score]],Table4[],2,TRUE)</f>
        <v>Low Risk</v>
      </c>
      <c r="F496">
        <v>0.41887500175758602</v>
      </c>
      <c r="G496" t="str">
        <f>IF(Table13[[#This Row],[Credit_Utilization]]&lt;0.3,"Low Utilization",
IF(Table13[[#This Row],[Credit_Utilization]]&lt;0.7,"Moderate Utilization",
"High Utilization"))</f>
        <v>Moderate Utilization</v>
      </c>
      <c r="H496" s="21">
        <v>6</v>
      </c>
      <c r="I496" s="21">
        <v>1</v>
      </c>
      <c r="J496" s="21">
        <v>16699</v>
      </c>
      <c r="K496">
        <v>0.412469585679689</v>
      </c>
      <c r="L496" t="str">
        <f>IF(Table13[[#This Row],[Debt_to_Income_Ratio]]&lt;0.3,"Low DTI", IF(Table13[[#This Row],[Debt_to_Income_Ratio]]&lt;0.5,"Moderate DTI", "High DTI"))</f>
        <v>Moderate DTI</v>
      </c>
      <c r="M496" t="s">
        <v>43</v>
      </c>
      <c r="N496" s="21">
        <v>0</v>
      </c>
      <c r="O496" t="s">
        <v>45</v>
      </c>
      <c r="P496" t="s">
        <v>32</v>
      </c>
      <c r="Q496" t="s">
        <v>23</v>
      </c>
      <c r="R496" t="s">
        <v>23</v>
      </c>
      <c r="S496" t="s">
        <v>23</v>
      </c>
      <c r="T496" t="s">
        <v>29</v>
      </c>
      <c r="U496" t="s">
        <v>29</v>
      </c>
      <c r="V496" t="s">
        <v>29</v>
      </c>
    </row>
    <row r="497" spans="1:22">
      <c r="A497" t="s">
        <v>533</v>
      </c>
      <c r="B497" s="21">
        <v>71</v>
      </c>
      <c r="C497" s="21">
        <v>48307</v>
      </c>
      <c r="D497" s="21">
        <v>688</v>
      </c>
      <c r="E497" t="str">
        <f>VLOOKUP(Table13[[#This Row],[Credit_Score]],Table4[],2,TRUE)</f>
        <v>Medium Risk</v>
      </c>
      <c r="F497">
        <v>0.48652175285636101</v>
      </c>
      <c r="G497" t="str">
        <f>IF(Table13[[#This Row],[Credit_Utilization]]&lt;0.3,"Low Utilization",
IF(Table13[[#This Row],[Credit_Utilization]]&lt;0.7,"Moderate Utilization",
"High Utilization"))</f>
        <v>Moderate Utilization</v>
      </c>
      <c r="H497" s="21">
        <v>2</v>
      </c>
      <c r="I497" s="21">
        <v>0</v>
      </c>
      <c r="J497" s="21">
        <v>12707</v>
      </c>
      <c r="K497">
        <v>0.37303270059233201</v>
      </c>
      <c r="L497" t="str">
        <f>IF(Table13[[#This Row],[Debt_to_Income_Ratio]]&lt;0.3,"Low DTI", IF(Table13[[#This Row],[Debt_to_Income_Ratio]]&lt;0.5,"Moderate DTI", "High DTI"))</f>
        <v>Moderate DTI</v>
      </c>
      <c r="M497" t="s">
        <v>50</v>
      </c>
      <c r="N497" s="21">
        <v>9</v>
      </c>
      <c r="O497" t="s">
        <v>45</v>
      </c>
      <c r="P497" t="s">
        <v>28</v>
      </c>
      <c r="Q497" t="s">
        <v>29</v>
      </c>
      <c r="R497" t="s">
        <v>29</v>
      </c>
      <c r="S497" t="s">
        <v>24</v>
      </c>
      <c r="T497" t="s">
        <v>29</v>
      </c>
      <c r="U497" t="s">
        <v>29</v>
      </c>
      <c r="V497" t="s">
        <v>23</v>
      </c>
    </row>
    <row r="498" spans="1:22">
      <c r="A498" t="s">
        <v>534</v>
      </c>
      <c r="B498" s="21">
        <v>60</v>
      </c>
      <c r="C498" s="21">
        <v>86180</v>
      </c>
      <c r="D498" s="21">
        <v>836</v>
      </c>
      <c r="E498" t="str">
        <f>VLOOKUP(Table13[[#This Row],[Credit_Score]],Table4[],2,TRUE)</f>
        <v>Low Risk</v>
      </c>
      <c r="F498">
        <v>0.60817384449626899</v>
      </c>
      <c r="G498" t="str">
        <f>IF(Table13[[#This Row],[Credit_Utilization]]&lt;0.3,"Low Utilization",
IF(Table13[[#This Row],[Credit_Utilization]]&lt;0.7,"Moderate Utilization",
"High Utilization"))</f>
        <v>Moderate Utilization</v>
      </c>
      <c r="H498" s="21">
        <v>2</v>
      </c>
      <c r="I498" s="21">
        <v>1</v>
      </c>
      <c r="J498" s="21">
        <v>45595</v>
      </c>
      <c r="K498">
        <v>0.29194342016876201</v>
      </c>
      <c r="L498" t="str">
        <f>IF(Table13[[#This Row],[Debt_to_Income_Ratio]]&lt;0.3,"Low DTI", IF(Table13[[#This Row],[Debt_to_Income_Ratio]]&lt;0.5,"Moderate DTI", "High DTI"))</f>
        <v>Low DTI</v>
      </c>
      <c r="M498" t="s">
        <v>34</v>
      </c>
      <c r="N498" s="21">
        <v>18</v>
      </c>
      <c r="O498" t="s">
        <v>21</v>
      </c>
      <c r="P498" t="s">
        <v>53</v>
      </c>
      <c r="Q498" t="s">
        <v>29</v>
      </c>
      <c r="R498" t="s">
        <v>29</v>
      </c>
      <c r="S498" t="s">
        <v>23</v>
      </c>
      <c r="T498" t="s">
        <v>23</v>
      </c>
      <c r="U498" t="s">
        <v>23</v>
      </c>
      <c r="V498" t="s">
        <v>24</v>
      </c>
    </row>
    <row r="499" spans="1:22">
      <c r="A499" t="s">
        <v>535</v>
      </c>
      <c r="B499" s="21">
        <v>54</v>
      </c>
      <c r="C499" s="21">
        <v>152326</v>
      </c>
      <c r="D499" s="21">
        <v>847</v>
      </c>
      <c r="E499" t="str">
        <f>VLOOKUP(Table13[[#This Row],[Credit_Score]],Table4[],2,TRUE)</f>
        <v>Low Risk</v>
      </c>
      <c r="F499">
        <v>0.67695021095266195</v>
      </c>
      <c r="G499" t="str">
        <f>IF(Table13[[#This Row],[Credit_Utilization]]&lt;0.3,"Low Utilization",
IF(Table13[[#This Row],[Credit_Utilization]]&lt;0.7,"Moderate Utilization",
"High Utilization"))</f>
        <v>Moderate Utilization</v>
      </c>
      <c r="H499" s="21">
        <v>0</v>
      </c>
      <c r="I499" s="21">
        <v>0</v>
      </c>
      <c r="J499" s="21">
        <v>44449</v>
      </c>
      <c r="K499">
        <v>0.104839280645984</v>
      </c>
      <c r="L499" t="str">
        <f>IF(Table13[[#This Row],[Debt_to_Income_Ratio]]&lt;0.3,"Low DTI", IF(Table13[[#This Row],[Debt_to_Income_Ratio]]&lt;0.5,"Moderate DTI", "High DTI"))</f>
        <v>Low DTI</v>
      </c>
      <c r="M499" t="s">
        <v>43</v>
      </c>
      <c r="N499" s="21">
        <v>16</v>
      </c>
      <c r="O499" t="s">
        <v>21</v>
      </c>
      <c r="P499" t="s">
        <v>28</v>
      </c>
      <c r="Q499" t="s">
        <v>29</v>
      </c>
      <c r="R499" t="s">
        <v>23</v>
      </c>
      <c r="S499" t="s">
        <v>23</v>
      </c>
      <c r="T499" t="s">
        <v>29</v>
      </c>
      <c r="U499" t="s">
        <v>23</v>
      </c>
      <c r="V499" t="s">
        <v>24</v>
      </c>
    </row>
    <row r="500" spans="1:22">
      <c r="A500" t="s">
        <v>536</v>
      </c>
      <c r="B500" s="21">
        <v>50</v>
      </c>
      <c r="C500" s="21">
        <v>105852</v>
      </c>
      <c r="D500" s="21">
        <v>343</v>
      </c>
      <c r="E500" t="str">
        <f>VLOOKUP(Table13[[#This Row],[Credit_Score]],Table4[],2,TRUE)</f>
        <v>High Risk</v>
      </c>
      <c r="F500">
        <v>0.70064263994780396</v>
      </c>
      <c r="G500" t="str">
        <f>IF(Table13[[#This Row],[Credit_Utilization]]&lt;0.3,"Low Utilization",
IF(Table13[[#This Row],[Credit_Utilization]]&lt;0.7,"Moderate Utilization",
"High Utilization"))</f>
        <v>High Utilization</v>
      </c>
      <c r="H500" s="21">
        <v>2</v>
      </c>
      <c r="I500" s="21">
        <v>1</v>
      </c>
      <c r="J500" s="21">
        <v>11155</v>
      </c>
      <c r="K500">
        <v>0.236477253347079</v>
      </c>
      <c r="L500" t="str">
        <f>IF(Table13[[#This Row],[Debt_to_Income_Ratio]]&lt;0.3,"Low DTI", IF(Table13[[#This Row],[Debt_to_Income_Ratio]]&lt;0.5,"Moderate DTI", "High DTI"))</f>
        <v>Low DTI</v>
      </c>
      <c r="M500" t="s">
        <v>43</v>
      </c>
      <c r="N500" s="21">
        <v>11</v>
      </c>
      <c r="O500" t="s">
        <v>21</v>
      </c>
      <c r="P500" t="s">
        <v>28</v>
      </c>
      <c r="Q500" t="s">
        <v>23</v>
      </c>
      <c r="R500" t="s">
        <v>29</v>
      </c>
      <c r="S500" t="s">
        <v>23</v>
      </c>
      <c r="T500" t="s">
        <v>24</v>
      </c>
      <c r="U500" t="s">
        <v>29</v>
      </c>
      <c r="V500" t="s">
        <v>24</v>
      </c>
    </row>
    <row r="501" spans="1:22">
      <c r="A501" t="s">
        <v>537</v>
      </c>
      <c r="B501" s="21">
        <v>25</v>
      </c>
      <c r="C501" s="21">
        <v>40945</v>
      </c>
      <c r="D501" s="21">
        <v>442</v>
      </c>
      <c r="E501" t="str">
        <f>VLOOKUP(Table13[[#This Row],[Credit_Score]],Table4[],2,TRUE)</f>
        <v>High Risk</v>
      </c>
      <c r="F501">
        <v>0.91137044414620405</v>
      </c>
      <c r="G501" t="str">
        <f>IF(Table13[[#This Row],[Credit_Utilization]]&lt;0.3,"Low Utilization",
IF(Table13[[#This Row],[Credit_Utilization]]&lt;0.7,"Moderate Utilization",
"High Utilization"))</f>
        <v>High Utilization</v>
      </c>
      <c r="H501" s="21">
        <v>1</v>
      </c>
      <c r="I501" s="21">
        <v>0</v>
      </c>
      <c r="J501" s="21">
        <v>36968</v>
      </c>
      <c r="K501">
        <v>0.37042222894844101</v>
      </c>
      <c r="L501" t="str">
        <f>IF(Table13[[#This Row],[Debt_to_Income_Ratio]]&lt;0.3,"Low DTI", IF(Table13[[#This Row],[Debt_to_Income_Ratio]]&lt;0.5,"Moderate DTI", "High DTI"))</f>
        <v>Moderate DTI</v>
      </c>
      <c r="M501" t="s">
        <v>26</v>
      </c>
      <c r="N501" s="21">
        <v>0</v>
      </c>
      <c r="O501" t="s">
        <v>45</v>
      </c>
      <c r="P501" t="s">
        <v>53</v>
      </c>
      <c r="Q501" t="s">
        <v>24</v>
      </c>
      <c r="R501" t="s">
        <v>23</v>
      </c>
      <c r="S501" t="s">
        <v>23</v>
      </c>
      <c r="T501" t="s">
        <v>29</v>
      </c>
      <c r="U501" t="s">
        <v>23</v>
      </c>
      <c r="V501" t="s">
        <v>29</v>
      </c>
    </row>
  </sheetData>
  <conditionalFormatting sqref="G2">
    <cfRule type="iconSet" priority="7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DD64D72E-6633-49DA-9F15-6F84A3386215}">
            <xm:f>NOT(ISERROR(SEARCH(#REF!,E2)))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" operator="containsText" id="{36A235AC-192D-4ECB-8C3D-668330FEC8AF}">
            <xm:f>NOT(ISERROR(SEARCH(#REF!,E2)))</xm:f>
            <xm:f>#REF!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3" operator="containsText" id="{C1F993C8-57A2-40B7-9AD6-B270EB898DF9}">
            <xm:f>NOT(ISERROR(SEARCH(#REF!,E2)))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E2:E501</xm:sqref>
        </x14:conditionalFormatting>
        <x14:conditionalFormatting xmlns:xm="http://schemas.microsoft.com/office/excel/2006/main">
          <x14:cfRule type="containsText" priority="6" operator="containsText" id="{7CD1729A-EC20-4998-AF22-6EBAD63C7CE3}">
            <xm:f>NOT(ISERROR(SEARCH($E$2,E2)))</xm:f>
            <xm:f>$E$2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" operator="containsText" id="{332E7FE3-48CB-4D69-80C7-60B5CB50AB2E}">
            <xm:f>NOT(ISERROR(SEARCH($E$7,E2)))</xm:f>
            <xm:f>$E$7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E2:E501</xm:sqref>
        </x14:conditionalFormatting>
        <x14:conditionalFormatting xmlns:xm="http://schemas.microsoft.com/office/excel/2006/main">
          <x14:cfRule type="containsText" priority="4" operator="containsText" id="{BEE79B4D-241C-47C5-B55A-38726C4B0AD1}">
            <xm:f>NOT(ISERROR(SEARCH($E$11,E7)))</xm:f>
            <xm:f>$E$11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 E14 E21 E27 E34</xm:sqref>
        </x14:conditionalFormatting>
        <x14:conditionalFormatting xmlns:xm="http://schemas.microsoft.com/office/excel/2006/main">
          <x14:cfRule type="containsText" priority="3" operator="containsText" id="{E702AF1F-F6CB-492C-86D5-3CE448ACECEA}">
            <xm:f>NOT(ISERROR(SEARCH($E$19,E11)))</xm:f>
            <xm:f>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258A5C3A-6DD8-48D6-808E-E27A46C202AC}">
            <xm:f>NOT(ISERROR(SEARCH($E$20,E11)))</xm:f>
            <xm:f>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</xm:sqref>
        </x14:conditionalFormatting>
        <x14:conditionalFormatting xmlns:xm="http://schemas.microsoft.com/office/excel/2006/main">
          <x14:cfRule type="containsText" priority="1" operator="containsText" id="{110CB26B-94C9-4DC4-8DB5-561E5B25E08F}">
            <xm:f>NOT(ISERROR(SEARCH($E$22,E19)))</xm:f>
            <xm:f>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A0B5-2A8D-4DC2-8715-59CBDB16C9EF}">
  <dimension ref="A1:E4"/>
  <sheetViews>
    <sheetView workbookViewId="0">
      <selection activeCell="E2" sqref="E2"/>
    </sheetView>
  </sheetViews>
  <sheetFormatPr defaultRowHeight="15.5"/>
  <cols>
    <col min="1" max="1" width="9.53515625" customWidth="1"/>
    <col min="4" max="4" width="12.07421875" customWidth="1"/>
    <col min="5" max="5" width="13.921875" customWidth="1"/>
  </cols>
  <sheetData>
    <row r="1" spans="1:5" ht="31">
      <c r="A1" s="1" t="s">
        <v>538</v>
      </c>
      <c r="B1" s="1" t="s">
        <v>539</v>
      </c>
      <c r="D1" s="1" t="s">
        <v>3</v>
      </c>
      <c r="E1" s="1" t="s">
        <v>586</v>
      </c>
    </row>
    <row r="2" spans="1:5">
      <c r="A2" s="2" t="s">
        <v>2</v>
      </c>
      <c r="B2" s="2">
        <f>MEDIAN(Table13[Income])</f>
        <v>107658</v>
      </c>
      <c r="D2" s="2">
        <v>0</v>
      </c>
      <c r="E2" s="2" t="s">
        <v>542</v>
      </c>
    </row>
    <row r="3" spans="1:5" ht="31">
      <c r="A3" s="2" t="s">
        <v>540</v>
      </c>
      <c r="B3" s="2">
        <f>MEDIAN(Table13[Credit_Score])</f>
        <v>586</v>
      </c>
      <c r="D3" s="2">
        <v>600</v>
      </c>
      <c r="E3" s="2" t="s">
        <v>543</v>
      </c>
    </row>
    <row r="4" spans="1:5" ht="31">
      <c r="A4" s="2" t="s">
        <v>541</v>
      </c>
      <c r="B4" s="2">
        <f>MEDIAN(Table13[Loan_Balance])</f>
        <v>45776</v>
      </c>
      <c r="D4" s="2">
        <v>750</v>
      </c>
      <c r="E4" s="2" t="s">
        <v>544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C800-6140-4EC4-9545-AD12A3AE8C1B}">
  <dimension ref="A1:H22"/>
  <sheetViews>
    <sheetView zoomScaleNormal="100" workbookViewId="0">
      <selection activeCell="I6" sqref="I6"/>
    </sheetView>
  </sheetViews>
  <sheetFormatPr defaultRowHeight="15.5"/>
  <cols>
    <col min="1" max="1" width="20.765625" bestFit="1" customWidth="1"/>
    <col min="2" max="2" width="26.53515625" customWidth="1"/>
    <col min="3" max="3" width="3" customWidth="1"/>
    <col min="4" max="4" width="20.765625" customWidth="1"/>
    <col min="5" max="5" width="26.3828125" customWidth="1"/>
    <col min="6" max="6" width="3.53515625" customWidth="1"/>
    <col min="7" max="7" width="15.4609375" customWidth="1"/>
    <col min="8" max="8" width="24.07421875" customWidth="1"/>
  </cols>
  <sheetData>
    <row r="1" spans="1:8">
      <c r="A1" s="19" t="s">
        <v>550</v>
      </c>
      <c r="B1" s="20"/>
      <c r="D1" s="19" t="s">
        <v>555</v>
      </c>
      <c r="E1" s="20"/>
      <c r="G1" s="19" t="s">
        <v>561</v>
      </c>
      <c r="H1" s="20"/>
    </row>
    <row r="2" spans="1:8">
      <c r="A2" s="5" t="s">
        <v>545</v>
      </c>
      <c r="B2" t="s">
        <v>548</v>
      </c>
      <c r="D2" s="5" t="s">
        <v>545</v>
      </c>
      <c r="E2" t="s">
        <v>551</v>
      </c>
      <c r="G2" s="4" t="s">
        <v>563</v>
      </c>
      <c r="H2" s="4" t="s">
        <v>557</v>
      </c>
    </row>
    <row r="3" spans="1:8">
      <c r="A3" s="6" t="s">
        <v>542</v>
      </c>
      <c r="B3" s="3">
        <v>36</v>
      </c>
      <c r="D3" s="6" t="s">
        <v>542</v>
      </c>
      <c r="E3" s="3">
        <v>260</v>
      </c>
      <c r="G3" t="s">
        <v>559</v>
      </c>
      <c r="H3" s="7">
        <f>GETPIVOTDATA("Delinquent_Account",$A$2,"Risk_Segment","Medium Risk")/GETPIVOTDATA("Customer_ID",$D$2,"Risk_Segment","Medium Risk")</f>
        <v>0.19230769230769232</v>
      </c>
    </row>
    <row r="4" spans="1:8">
      <c r="A4" s="6" t="s">
        <v>543</v>
      </c>
      <c r="B4" s="3">
        <v>25</v>
      </c>
      <c r="D4" s="6" t="s">
        <v>543</v>
      </c>
      <c r="E4" s="3">
        <v>130</v>
      </c>
      <c r="G4" t="s">
        <v>560</v>
      </c>
      <c r="H4" s="7">
        <f>GETPIVOTDATA("Delinquent_Account",$A$2,"Risk_Segment","Low Risk")/GETPIVOTDATA("Customer_ID",$D$2,"Risk_Segment","Low Risk")</f>
        <v>0.17272727272727273</v>
      </c>
    </row>
    <row r="5" spans="1:8">
      <c r="A5" s="6" t="s">
        <v>544</v>
      </c>
      <c r="B5" s="3">
        <v>19</v>
      </c>
      <c r="D5" s="6" t="s">
        <v>544</v>
      </c>
      <c r="E5" s="3">
        <v>110</v>
      </c>
      <c r="G5" s="10" t="s">
        <v>558</v>
      </c>
      <c r="H5" s="12">
        <f>GETPIVOTDATA("Delinquent_Account",$A$2,"Risk_Segment","High Risk")/GETPIVOTDATA("Customer_ID",$D$2,"Risk_Segment","High Risk")</f>
        <v>0.13846153846153847</v>
      </c>
    </row>
    <row r="6" spans="1:8">
      <c r="A6" s="6" t="s">
        <v>549</v>
      </c>
      <c r="B6" s="3">
        <v>80</v>
      </c>
      <c r="D6" s="6" t="s">
        <v>549</v>
      </c>
      <c r="E6" s="3">
        <v>500</v>
      </c>
      <c r="G6" s="9" t="s">
        <v>549</v>
      </c>
      <c r="H6" s="11">
        <f>SUM(H3:H5)</f>
        <v>0.50349650349650354</v>
      </c>
    </row>
    <row r="8" spans="1:8">
      <c r="A8" s="19" t="s">
        <v>556</v>
      </c>
      <c r="B8" s="20"/>
      <c r="D8" s="19" t="s">
        <v>562</v>
      </c>
      <c r="E8" s="20"/>
    </row>
    <row r="9" spans="1:8">
      <c r="A9" s="5" t="s">
        <v>546</v>
      </c>
      <c r="B9" t="s">
        <v>548</v>
      </c>
      <c r="D9" s="5" t="s">
        <v>546</v>
      </c>
      <c r="E9" t="s">
        <v>551</v>
      </c>
      <c r="G9" s="4" t="s">
        <v>563</v>
      </c>
      <c r="H9" s="4" t="s">
        <v>557</v>
      </c>
    </row>
    <row r="10" spans="1:8">
      <c r="A10" s="6" t="s">
        <v>554</v>
      </c>
      <c r="B10" s="3">
        <v>59</v>
      </c>
      <c r="D10" s="6" t="s">
        <v>554</v>
      </c>
      <c r="E10" s="3">
        <v>348</v>
      </c>
      <c r="G10" s="8" t="s">
        <v>559</v>
      </c>
      <c r="H10" s="13">
        <f>GETPIVOTDATA("Delinquent_Account",$A$9,"Utilization_Category","Moderate Utilization")/GETPIVOTDATA("Customer_ID",$D$9,"Utilization_Category","Moderate Utilization")</f>
        <v>0.16954022988505746</v>
      </c>
    </row>
    <row r="11" spans="1:8">
      <c r="A11" s="6" t="s">
        <v>552</v>
      </c>
      <c r="B11" s="3">
        <v>11</v>
      </c>
      <c r="D11" s="6" t="s">
        <v>553</v>
      </c>
      <c r="E11" s="3">
        <v>83</v>
      </c>
      <c r="G11" s="14" t="s">
        <v>558</v>
      </c>
      <c r="H11" s="15">
        <f>GETPIVOTDATA("Delinquent_Account",$A$9,"Utilization_Category","High Utilization")/GETPIVOTDATA("Customer_ID",$D$9,"Utilization_Category","High Utilization")</f>
        <v>0.15942028985507245</v>
      </c>
    </row>
    <row r="12" spans="1:8">
      <c r="A12" s="6" t="s">
        <v>553</v>
      </c>
      <c r="B12" s="3">
        <v>10</v>
      </c>
      <c r="D12" s="6" t="s">
        <v>552</v>
      </c>
      <c r="E12" s="3">
        <v>69</v>
      </c>
      <c r="G12" s="8" t="s">
        <v>560</v>
      </c>
      <c r="H12" s="13">
        <f>GETPIVOTDATA("Delinquent_Account",$A$9,"Utilization_Category","Low Utilization")/GETPIVOTDATA("Customer_ID",$D$9,"Utilization_Category","Low Utilization")</f>
        <v>0.12048192771084337</v>
      </c>
    </row>
    <row r="13" spans="1:8">
      <c r="A13" s="6" t="s">
        <v>549</v>
      </c>
      <c r="B13" s="3">
        <v>80</v>
      </c>
      <c r="D13" s="6" t="s">
        <v>549</v>
      </c>
      <c r="E13" s="3">
        <v>500</v>
      </c>
      <c r="G13" s="16" t="s">
        <v>549</v>
      </c>
      <c r="H13" s="17">
        <f>SUM(H10:H12)</f>
        <v>0.44944244745097328</v>
      </c>
    </row>
    <row r="15" spans="1:8">
      <c r="A15" s="19" t="s">
        <v>564</v>
      </c>
      <c r="B15" s="20"/>
      <c r="D15" s="19" t="s">
        <v>565</v>
      </c>
      <c r="E15" s="20"/>
      <c r="G15" s="19" t="s">
        <v>568</v>
      </c>
      <c r="H15" s="20"/>
    </row>
    <row r="16" spans="1:8">
      <c r="A16" s="5" t="s">
        <v>566</v>
      </c>
      <c r="B16" t="s">
        <v>548</v>
      </c>
      <c r="D16" s="5" t="s">
        <v>567</v>
      </c>
      <c r="E16" t="s">
        <v>548</v>
      </c>
      <c r="G16" s="5" t="s">
        <v>569</v>
      </c>
      <c r="H16" t="s">
        <v>551</v>
      </c>
    </row>
    <row r="17" spans="1:8">
      <c r="A17" s="6" t="s">
        <v>45</v>
      </c>
      <c r="B17" s="3">
        <v>23</v>
      </c>
      <c r="D17" s="6" t="s">
        <v>43</v>
      </c>
      <c r="E17" s="3">
        <v>39</v>
      </c>
      <c r="G17" s="6" t="s">
        <v>23</v>
      </c>
      <c r="H17" s="3">
        <v>181</v>
      </c>
    </row>
    <row r="18" spans="1:8">
      <c r="A18" s="6" t="s">
        <v>21</v>
      </c>
      <c r="B18" s="3">
        <v>20</v>
      </c>
      <c r="D18" s="6" t="s">
        <v>34</v>
      </c>
      <c r="E18" s="3">
        <v>18</v>
      </c>
      <c r="G18" s="6" t="s">
        <v>24</v>
      </c>
      <c r="H18" s="3">
        <v>160</v>
      </c>
    </row>
    <row r="19" spans="1:8">
      <c r="A19" s="6" t="s">
        <v>37</v>
      </c>
      <c r="B19" s="3">
        <v>17</v>
      </c>
      <c r="D19" s="6" t="s">
        <v>26</v>
      </c>
      <c r="E19" s="3">
        <v>13</v>
      </c>
      <c r="G19" s="6" t="s">
        <v>29</v>
      </c>
      <c r="H19" s="3">
        <v>159</v>
      </c>
    </row>
    <row r="20" spans="1:8">
      <c r="A20" s="6" t="s">
        <v>27</v>
      </c>
      <c r="B20" s="3">
        <v>11</v>
      </c>
      <c r="D20" s="6" t="s">
        <v>50</v>
      </c>
      <c r="E20" s="3">
        <v>10</v>
      </c>
      <c r="G20" s="6" t="s">
        <v>549</v>
      </c>
      <c r="H20" s="3">
        <v>500</v>
      </c>
    </row>
    <row r="21" spans="1:8">
      <c r="A21" s="6" t="s">
        <v>31</v>
      </c>
      <c r="B21" s="3">
        <v>9</v>
      </c>
      <c r="D21" s="6" t="s">
        <v>549</v>
      </c>
      <c r="E21" s="3">
        <v>80</v>
      </c>
    </row>
    <row r="22" spans="1:8">
      <c r="A22" s="6" t="s">
        <v>549</v>
      </c>
      <c r="B22" s="3">
        <v>80</v>
      </c>
    </row>
  </sheetData>
  <mergeCells count="8">
    <mergeCell ref="A15:B15"/>
    <mergeCell ref="D15:E15"/>
    <mergeCell ref="G15:H15"/>
    <mergeCell ref="A1:B1"/>
    <mergeCell ref="D1:E1"/>
    <mergeCell ref="A8:B8"/>
    <mergeCell ref="G1:H1"/>
    <mergeCell ref="D8:E8"/>
  </mergeCells>
  <pageMargins left="0.7" right="0.7" top="0.75" bottom="0.75" header="0.3" footer="0.3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DC2D-9754-49E3-AB34-466AECBC83BD}">
  <dimension ref="A1:A23"/>
  <sheetViews>
    <sheetView workbookViewId="0">
      <selection activeCell="C27" sqref="C27"/>
    </sheetView>
  </sheetViews>
  <sheetFormatPr defaultRowHeight="15.5"/>
  <sheetData>
    <row r="1" spans="1:1" ht="23">
      <c r="A1" s="18" t="s">
        <v>570</v>
      </c>
    </row>
    <row r="2" spans="1:1">
      <c r="A2" t="s">
        <v>571</v>
      </c>
    </row>
    <row r="4" spans="1:1" ht="23">
      <c r="A4" s="18" t="s">
        <v>572</v>
      </c>
    </row>
    <row r="5" spans="1:1">
      <c r="A5" t="s">
        <v>573</v>
      </c>
    </row>
    <row r="7" spans="1:1" ht="23">
      <c r="A7" s="18" t="s">
        <v>574</v>
      </c>
    </row>
    <row r="8" spans="1:1">
      <c r="A8" t="s">
        <v>575</v>
      </c>
    </row>
    <row r="10" spans="1:1" ht="23">
      <c r="A10" s="18" t="s">
        <v>576</v>
      </c>
    </row>
    <row r="11" spans="1:1">
      <c r="A11" t="s">
        <v>577</v>
      </c>
    </row>
    <row r="13" spans="1:1" ht="23">
      <c r="A13" s="18" t="s">
        <v>578</v>
      </c>
    </row>
    <row r="14" spans="1:1">
      <c r="A14" t="s">
        <v>579</v>
      </c>
    </row>
    <row r="16" spans="1:1" ht="23">
      <c r="A16" s="18" t="s">
        <v>580</v>
      </c>
    </row>
    <row r="17" spans="1:1">
      <c r="A17" t="s">
        <v>581</v>
      </c>
    </row>
    <row r="19" spans="1:1" ht="23">
      <c r="A19" s="18" t="s">
        <v>582</v>
      </c>
    </row>
    <row r="20" spans="1:1">
      <c r="A20" t="s">
        <v>583</v>
      </c>
    </row>
    <row r="22" spans="1:1" ht="23">
      <c r="A22" s="18" t="s">
        <v>584</v>
      </c>
    </row>
    <row r="23" spans="1:1">
      <c r="A23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Lookup_Tables</vt:lpstr>
      <vt:lpstr>Pivot_Analysis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Krish S</cp:lastModifiedBy>
  <dcterms:created xsi:type="dcterms:W3CDTF">2025-03-20T10:37:19Z</dcterms:created>
  <dcterms:modified xsi:type="dcterms:W3CDTF">2026-06-01T09:19:23Z</dcterms:modified>
</cp:coreProperties>
</file>